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" sheetId="1" r:id="rId5"/>
    <sheet state="visible" name="bonus-eor" sheetId="2" r:id="rId6"/>
    <sheet state="visible" name="bonus-scom" sheetId="3" r:id="rId7"/>
    <sheet state="visible" name="bonus-pr" sheetId="4" r:id="rId8"/>
  </sheets>
  <definedNames>
    <definedName hidden="1" localSheetId="0" name="_xlnm._FilterDatabase">movies!$A$1:$O$1000</definedName>
    <definedName hidden="1" localSheetId="2" name="_xlnm._FilterDatabase">'bonus-scom'!$A$1:$O$1001</definedName>
    <definedName hidden="1" localSheetId="3" name="_xlnm._FilterDatabase">'bonus-pr'!$A$1:$O$1001</definedName>
  </definedNames>
  <calcPr/>
</workbook>
</file>

<file path=xl/sharedStrings.xml><?xml version="1.0" encoding="utf-8"?>
<sst xmlns="http://schemas.openxmlformats.org/spreadsheetml/2006/main" count="291" uniqueCount="88">
  <si>
    <t>Title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</si>
  <si>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</si>
  <si>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</si>
  <si>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</si>
  <si>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</si>
  <si>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</si>
  <si>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</si>
  <si>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</si>
  <si>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</si>
  <si>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</si>
  <si>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</si>
  <si>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ab</t>
  </si>
  <si>
    <t>a</t>
  </si>
  <si>
    <t>b</t>
  </si>
  <si>
    <t>cos(theta)</t>
  </si>
  <si>
    <t>Legally Blonde</t>
  </si>
  <si>
    <t>Toy Story 3</t>
  </si>
  <si>
    <t>The Aristocats</t>
  </si>
  <si>
    <t>Garden State</t>
  </si>
  <si>
    <t>Raging Bull</t>
  </si>
  <si>
    <t>I, Robot</t>
  </si>
  <si>
    <t>Avatar</t>
  </si>
  <si>
    <t>Spirited Away</t>
  </si>
  <si>
    <t>RoboCop</t>
  </si>
  <si>
    <t>Big Fish</t>
  </si>
  <si>
    <t>The Bourne Identity</t>
  </si>
  <si>
    <t>Shrek</t>
  </si>
  <si>
    <t>WALL–E</t>
  </si>
  <si>
    <t>Sweet Home Alabama</t>
  </si>
  <si>
    <t>Toy Story</t>
  </si>
  <si>
    <t>Track</t>
  </si>
  <si>
    <t>Album</t>
  </si>
  <si>
    <t>Acousticness</t>
  </si>
  <si>
    <t>Danceability</t>
  </si>
  <si>
    <t>Energy</t>
  </si>
  <si>
    <t>Instrumentalness</t>
  </si>
  <si>
    <t>Liveness</t>
  </si>
  <si>
    <t>Loudness</t>
  </si>
  <si>
    <t>Speechiness</t>
  </si>
  <si>
    <t>Tempo</t>
  </si>
  <si>
    <t>Valence</t>
  </si>
  <si>
    <t>End of the Road</t>
  </si>
  <si>
    <t>Lavender Haze</t>
  </si>
  <si>
    <t>Midnights</t>
  </si>
  <si>
    <t>Maroon</t>
  </si>
  <si>
    <t>Anti-Hero</t>
  </si>
  <si>
    <t>Snow On The Beach (feat. Lana Del Rey)</t>
  </si>
  <si>
    <t>You're On Your Own, Kid</t>
  </si>
  <si>
    <t>Midnight Rain</t>
  </si>
  <si>
    <t>Question...?</t>
  </si>
  <si>
    <t>Vigilante Shit</t>
  </si>
  <si>
    <t>Bejeweled</t>
  </si>
  <si>
    <t>Labyrinth</t>
  </si>
  <si>
    <t>Karma</t>
  </si>
  <si>
    <t>Sweet Nothing</t>
  </si>
  <si>
    <t>Mastermind</t>
  </si>
  <si>
    <t>the 1</t>
  </si>
  <si>
    <t>folklore</t>
  </si>
  <si>
    <t>cardigan</t>
  </si>
  <si>
    <t>the last great american dynasty</t>
  </si>
  <si>
    <t>exile (feat. Bon Iver)</t>
  </si>
  <si>
    <t>my tears ricochet</t>
  </si>
  <si>
    <t>mirrorball</t>
  </si>
  <si>
    <t>seven</t>
  </si>
  <si>
    <t>august</t>
  </si>
  <si>
    <t>this is me trying</t>
  </si>
  <si>
    <t>illicit affairs</t>
  </si>
  <si>
    <t>invisible string</t>
  </si>
  <si>
    <t>mad woman</t>
  </si>
  <si>
    <t>epiphany</t>
  </si>
  <si>
    <t>betty</t>
  </si>
  <si>
    <t>peace</t>
  </si>
  <si>
    <t>hoax</t>
  </si>
  <si>
    <t>Welcome To New York</t>
  </si>
  <si>
    <t>Blank Space</t>
  </si>
  <si>
    <t>Style</t>
  </si>
  <si>
    <t>Out Of The Woods</t>
  </si>
  <si>
    <t>All You Had To Do Was Stay</t>
  </si>
  <si>
    <t>Shake It Off</t>
  </si>
  <si>
    <t>I Wish You Would</t>
  </si>
  <si>
    <t>Bad Blood</t>
  </si>
  <si>
    <t>Wildest Dreams</t>
  </si>
  <si>
    <t>How You Get The Girl</t>
  </si>
  <si>
    <t>This Love</t>
  </si>
  <si>
    <t>I Know Places</t>
  </si>
  <si>
    <t>Clean</t>
  </si>
  <si>
    <t>Sweet Child O Mine</t>
  </si>
  <si>
    <t>Purple 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</si>
</sst>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rgb="FF000000"/>
      <name val="&quot;Aptos Narrow&quot;"/>
    </font>
    <font>
      <sz val="9.0"/>
      <color rgb="FF000000"/>
      <name val="Arial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2" fontId="3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3" fontId="5" numFmtId="0" xfId="0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3" fontId="6" numFmtId="0" xfId="0" applyAlignment="1" applyFont="1">
      <alignment vertical="bottom"/>
    </xf>
    <xf borderId="0" fillId="0" fontId="9" numFmtId="11" xfId="0" applyAlignment="1" applyFont="1" applyNumberFormat="1">
      <alignment horizontal="right" vertical="bottom"/>
    </xf>
    <xf borderId="0" fillId="3" fontId="5" numFmtId="11" xfId="0" applyFont="1" applyNumberFormat="1"/>
    <xf borderId="0" fillId="4" fontId="8" numFmtId="0" xfId="0" applyAlignment="1" applyFill="1" applyFont="1">
      <alignment vertical="bottom"/>
    </xf>
    <xf borderId="0" fillId="4" fontId="5" numFmtId="0" xfId="0" applyFont="1"/>
    <xf borderId="0" fillId="4" fontId="6" numFmtId="0" xfId="0" applyAlignment="1" applyFont="1">
      <alignment vertical="bottom"/>
    </xf>
    <xf borderId="0" fillId="4" fontId="5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11" width="9.2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5.75" customHeight="1">
      <c r="A2" s="5" t="s">
        <v>15</v>
      </c>
      <c r="B2" s="6">
        <v>2.0</v>
      </c>
      <c r="C2" s="6">
        <v>2.5</v>
      </c>
      <c r="D2" s="6">
        <v>0.0</v>
      </c>
      <c r="E2" s="6">
        <v>1.5</v>
      </c>
      <c r="F2" s="6">
        <v>1.5</v>
      </c>
      <c r="G2" s="6">
        <v>0.0</v>
      </c>
      <c r="H2" s="6">
        <v>0.0</v>
      </c>
      <c r="I2" s="6">
        <v>0.0</v>
      </c>
      <c r="J2" s="6">
        <v>3.0</v>
      </c>
      <c r="K2" s="6">
        <v>3.5</v>
      </c>
      <c r="L2" s="7">
        <f t="shared" ref="L2:L15" si="1">(2.5*B2) + (0*C2)+(4.5*D2)+(4*E2)+(4*F2)+(3.5*G2)+(4*H2)+(5*I2)+(4*J2)+(3*K2)</f>
        <v>39.5</v>
      </c>
      <c r="N2" s="8">
        <f t="shared" ref="N2:N15" si="2">sqrt(B2^2 +C2^2+D2^2+E2^2+F2^2+G2^2+H2^2+I2^2+J2^2+K2^2)</f>
        <v>6</v>
      </c>
      <c r="O2" s="8">
        <f t="shared" ref="O2:O15" si="3">(L2)/(11.7*N2)</f>
        <v>0.5626780627</v>
      </c>
    </row>
    <row r="3" ht="15.75" customHeight="1">
      <c r="A3" s="5" t="s">
        <v>16</v>
      </c>
      <c r="B3" s="6">
        <v>0.0</v>
      </c>
      <c r="C3" s="6">
        <v>0.0</v>
      </c>
      <c r="D3" s="6">
        <v>0.0</v>
      </c>
      <c r="E3" s="6">
        <v>0.0</v>
      </c>
      <c r="F3" s="6">
        <v>4.5</v>
      </c>
      <c r="G3" s="6">
        <v>0.0</v>
      </c>
      <c r="H3" s="6">
        <v>3.0</v>
      </c>
      <c r="I3" s="6">
        <v>5.0</v>
      </c>
      <c r="J3" s="6">
        <v>0.0</v>
      </c>
      <c r="K3" s="6">
        <v>0.0</v>
      </c>
      <c r="L3" s="7">
        <f t="shared" si="1"/>
        <v>55</v>
      </c>
      <c r="N3" s="8">
        <f t="shared" si="2"/>
        <v>7.365459931</v>
      </c>
      <c r="O3" s="8">
        <f t="shared" si="3"/>
        <v>0.6382296211</v>
      </c>
    </row>
    <row r="4" ht="15.75" customHeight="1">
      <c r="A4" s="5" t="s">
        <v>17</v>
      </c>
      <c r="B4" s="6">
        <v>0.0</v>
      </c>
      <c r="C4" s="6">
        <v>0.0</v>
      </c>
      <c r="D4" s="6">
        <v>3.0</v>
      </c>
      <c r="E4" s="6">
        <v>2.5</v>
      </c>
      <c r="F4" s="6">
        <v>3.5</v>
      </c>
      <c r="G4" s="6">
        <v>3.0</v>
      </c>
      <c r="H4" s="6">
        <v>3.5</v>
      </c>
      <c r="I4" s="6">
        <v>0.0</v>
      </c>
      <c r="J4" s="6">
        <v>0.0</v>
      </c>
      <c r="K4" s="6">
        <v>0.0</v>
      </c>
      <c r="L4" s="7">
        <f t="shared" si="1"/>
        <v>62</v>
      </c>
      <c r="N4" s="8">
        <f t="shared" si="2"/>
        <v>6.982120022</v>
      </c>
      <c r="O4" s="8">
        <f t="shared" si="3"/>
        <v>0.7589593537</v>
      </c>
    </row>
    <row r="5" ht="15.75" customHeight="1">
      <c r="A5" s="5" t="s">
        <v>18</v>
      </c>
      <c r="B5" s="6">
        <v>4.0</v>
      </c>
      <c r="C5" s="6">
        <v>0.0</v>
      </c>
      <c r="D5" s="6">
        <v>2.5</v>
      </c>
      <c r="E5" s="6">
        <v>3.5</v>
      </c>
      <c r="F5" s="6">
        <v>0.0</v>
      </c>
      <c r="G5" s="6">
        <v>3.5</v>
      </c>
      <c r="H5" s="6">
        <v>0.0</v>
      </c>
      <c r="I5" s="6">
        <v>3.5</v>
      </c>
      <c r="J5" s="6">
        <v>0.0</v>
      </c>
      <c r="K5" s="6">
        <v>3.0</v>
      </c>
      <c r="L5" s="7">
        <f t="shared" si="1"/>
        <v>74</v>
      </c>
      <c r="N5" s="8">
        <f t="shared" si="2"/>
        <v>8.246211251</v>
      </c>
      <c r="O5" s="8">
        <f t="shared" si="3"/>
        <v>0.7669930023</v>
      </c>
    </row>
    <row r="6" ht="15.75" customHeight="1">
      <c r="A6" s="5" t="s">
        <v>19</v>
      </c>
      <c r="B6" s="6">
        <v>0.0</v>
      </c>
      <c r="C6" s="6">
        <v>0.0</v>
      </c>
      <c r="D6" s="6">
        <v>0.0</v>
      </c>
      <c r="E6" s="6">
        <v>3.5</v>
      </c>
      <c r="F6" s="6">
        <v>3.5</v>
      </c>
      <c r="G6" s="6">
        <v>0.0</v>
      </c>
      <c r="H6" s="6">
        <v>5.0</v>
      </c>
      <c r="I6" s="6">
        <v>5.0</v>
      </c>
      <c r="J6" s="6">
        <v>3.5</v>
      </c>
      <c r="K6" s="6">
        <v>0.0</v>
      </c>
      <c r="L6" s="7">
        <f t="shared" si="1"/>
        <v>87</v>
      </c>
      <c r="N6" s="8">
        <f t="shared" si="2"/>
        <v>9.313968005</v>
      </c>
      <c r="O6" s="8">
        <f t="shared" si="3"/>
        <v>0.7983597788</v>
      </c>
    </row>
    <row r="7" ht="15.75" customHeight="1">
      <c r="A7" s="5" t="s">
        <v>20</v>
      </c>
      <c r="B7" s="6">
        <v>4.5</v>
      </c>
      <c r="C7" s="6">
        <v>0.0</v>
      </c>
      <c r="D7" s="6">
        <v>0.0</v>
      </c>
      <c r="E7" s="6">
        <v>3.0</v>
      </c>
      <c r="F7" s="6">
        <v>2.5</v>
      </c>
      <c r="G7" s="6">
        <v>3.5</v>
      </c>
      <c r="H7" s="6">
        <v>0.0</v>
      </c>
      <c r="I7" s="6">
        <v>3.0</v>
      </c>
      <c r="J7" s="6">
        <v>3.0</v>
      </c>
      <c r="K7" s="6">
        <v>3.5</v>
      </c>
      <c r="L7" s="7">
        <f t="shared" si="1"/>
        <v>83</v>
      </c>
      <c r="N7" s="8">
        <f t="shared" si="2"/>
        <v>8.831760866</v>
      </c>
      <c r="O7" s="8">
        <f t="shared" si="3"/>
        <v>0.8032392635</v>
      </c>
    </row>
    <row r="8" ht="15.75" customHeight="1">
      <c r="A8" s="5" t="s">
        <v>21</v>
      </c>
      <c r="B8" s="6">
        <v>0.0</v>
      </c>
      <c r="C8" s="6">
        <v>1.5</v>
      </c>
      <c r="D8" s="6">
        <v>4.0</v>
      </c>
      <c r="E8" s="6">
        <v>0.0</v>
      </c>
      <c r="F8" s="6">
        <v>3.0</v>
      </c>
      <c r="G8" s="6">
        <v>0.0</v>
      </c>
      <c r="H8" s="6">
        <v>3.0</v>
      </c>
      <c r="I8" s="6">
        <v>4.5</v>
      </c>
      <c r="J8" s="6">
        <v>3.5</v>
      </c>
      <c r="K8" s="6">
        <v>0.0</v>
      </c>
      <c r="L8" s="7">
        <f t="shared" si="1"/>
        <v>78.5</v>
      </c>
      <c r="N8" s="8">
        <f t="shared" si="2"/>
        <v>8.291561976</v>
      </c>
      <c r="O8" s="8">
        <f t="shared" si="3"/>
        <v>0.8091842923</v>
      </c>
    </row>
    <row r="9" ht="15.75" customHeight="1">
      <c r="A9" s="5" t="s">
        <v>22</v>
      </c>
      <c r="B9" s="6">
        <v>3.5</v>
      </c>
      <c r="C9" s="6">
        <v>4.0</v>
      </c>
      <c r="D9" s="6">
        <v>4.0</v>
      </c>
      <c r="E9" s="6">
        <v>4.0</v>
      </c>
      <c r="F9" s="6">
        <v>4.0</v>
      </c>
      <c r="G9" s="6">
        <v>0.0</v>
      </c>
      <c r="H9" s="6">
        <v>4.0</v>
      </c>
      <c r="I9" s="6">
        <v>4.0</v>
      </c>
      <c r="J9" s="6">
        <v>0.0</v>
      </c>
      <c r="K9" s="6">
        <v>4.0</v>
      </c>
      <c r="L9" s="7">
        <f t="shared" si="1"/>
        <v>106.75</v>
      </c>
      <c r="N9" s="8">
        <f t="shared" si="2"/>
        <v>11.1467484</v>
      </c>
      <c r="O9" s="8">
        <f t="shared" si="3"/>
        <v>0.8185285334</v>
      </c>
    </row>
    <row r="10" ht="15.75" customHeight="1">
      <c r="A10" s="5" t="s">
        <v>23</v>
      </c>
      <c r="B10" s="6">
        <v>2.0</v>
      </c>
      <c r="C10" s="6">
        <v>0.5</v>
      </c>
      <c r="D10" s="6">
        <v>4.0</v>
      </c>
      <c r="E10" s="6">
        <v>2.5</v>
      </c>
      <c r="F10" s="6">
        <v>3.5</v>
      </c>
      <c r="G10" s="6">
        <v>0.0</v>
      </c>
      <c r="H10" s="6">
        <v>0.0</v>
      </c>
      <c r="I10" s="6">
        <v>5.0</v>
      </c>
      <c r="J10" s="6">
        <v>3.0</v>
      </c>
      <c r="K10" s="6">
        <v>0.0</v>
      </c>
      <c r="L10" s="7">
        <f t="shared" si="1"/>
        <v>84</v>
      </c>
      <c r="N10" s="8">
        <f t="shared" si="2"/>
        <v>8.529361055</v>
      </c>
      <c r="O10" s="8">
        <f t="shared" si="3"/>
        <v>0.8417379841</v>
      </c>
    </row>
    <row r="11" ht="15.75" customHeight="1">
      <c r="A11" s="5" t="s">
        <v>24</v>
      </c>
      <c r="B11" s="6">
        <v>4.0</v>
      </c>
      <c r="C11" s="6">
        <v>0.5</v>
      </c>
      <c r="D11" s="6">
        <v>4.5</v>
      </c>
      <c r="E11" s="6">
        <v>3.5</v>
      </c>
      <c r="F11" s="6">
        <v>0.0</v>
      </c>
      <c r="G11" s="6">
        <v>2.5</v>
      </c>
      <c r="H11" s="6">
        <v>0.0</v>
      </c>
      <c r="I11" s="6">
        <v>4.0</v>
      </c>
      <c r="J11" s="6">
        <v>3.0</v>
      </c>
      <c r="K11" s="6">
        <v>3.0</v>
      </c>
      <c r="L11" s="7">
        <f t="shared" si="1"/>
        <v>94</v>
      </c>
      <c r="N11" s="8">
        <f t="shared" si="2"/>
        <v>9.433981132</v>
      </c>
      <c r="O11" s="8">
        <f t="shared" si="3"/>
        <v>0.8516222284</v>
      </c>
    </row>
    <row r="12" ht="15.75" customHeight="1">
      <c r="A12" s="5" t="s">
        <v>25</v>
      </c>
      <c r="B12" s="6">
        <v>4.5</v>
      </c>
      <c r="C12" s="6">
        <v>0.0</v>
      </c>
      <c r="D12" s="6">
        <v>3.5</v>
      </c>
      <c r="E12" s="6">
        <v>3.5</v>
      </c>
      <c r="F12" s="6">
        <v>3.5</v>
      </c>
      <c r="G12" s="6">
        <v>4.5</v>
      </c>
      <c r="H12" s="6">
        <v>0.0</v>
      </c>
      <c r="I12" s="6">
        <v>4.0</v>
      </c>
      <c r="J12" s="6">
        <v>3.5</v>
      </c>
      <c r="K12" s="6">
        <v>4.0</v>
      </c>
      <c r="L12" s="7">
        <f t="shared" si="1"/>
        <v>116.75</v>
      </c>
      <c r="N12" s="8">
        <f t="shared" si="2"/>
        <v>11.02270384</v>
      </c>
      <c r="O12" s="8">
        <f t="shared" si="3"/>
        <v>0.9052799223</v>
      </c>
    </row>
    <row r="13" ht="15.75" customHeight="1">
      <c r="A13" s="5" t="s">
        <v>26</v>
      </c>
      <c r="B13" s="6">
        <v>4.5</v>
      </c>
      <c r="C13" s="6">
        <v>4.0</v>
      </c>
      <c r="D13" s="6">
        <v>4.0</v>
      </c>
      <c r="E13" s="6">
        <v>2.5</v>
      </c>
      <c r="F13" s="6">
        <v>3.5</v>
      </c>
      <c r="G13" s="6">
        <v>4.5</v>
      </c>
      <c r="H13" s="6">
        <v>3.5</v>
      </c>
      <c r="I13" s="6">
        <v>3.5</v>
      </c>
      <c r="J13" s="6">
        <v>4.0</v>
      </c>
      <c r="K13" s="6">
        <v>3.5</v>
      </c>
      <c r="L13" s="7">
        <f t="shared" si="1"/>
        <v>127</v>
      </c>
      <c r="N13" s="8">
        <f t="shared" si="2"/>
        <v>11.98957881</v>
      </c>
      <c r="O13" s="8">
        <f t="shared" si="3"/>
        <v>0.9053446354</v>
      </c>
    </row>
    <row r="14" ht="15.75" customHeight="1">
      <c r="A14" s="5" t="s">
        <v>27</v>
      </c>
      <c r="B14" s="6">
        <v>0.0</v>
      </c>
      <c r="C14" s="6">
        <v>4.0</v>
      </c>
      <c r="D14" s="6">
        <v>4.5</v>
      </c>
      <c r="E14" s="6">
        <v>5.0</v>
      </c>
      <c r="F14" s="6">
        <v>3.5</v>
      </c>
      <c r="G14" s="6">
        <v>4.5</v>
      </c>
      <c r="H14" s="6">
        <v>4.0</v>
      </c>
      <c r="I14" s="6">
        <v>4.5</v>
      </c>
      <c r="J14" s="6">
        <v>4.0</v>
      </c>
      <c r="K14" s="6">
        <v>4.0</v>
      </c>
      <c r="L14" s="7">
        <f t="shared" si="1"/>
        <v>136.5</v>
      </c>
      <c r="N14" s="8">
        <f t="shared" si="2"/>
        <v>12.72792206</v>
      </c>
      <c r="O14" s="8">
        <f t="shared" si="3"/>
        <v>0.9166199015</v>
      </c>
    </row>
    <row r="15" ht="15.75" customHeight="1">
      <c r="A15" s="5" t="s">
        <v>28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7">
        <f t="shared" si="1"/>
        <v>0</v>
      </c>
      <c r="N15" s="8">
        <f t="shared" si="2"/>
        <v>0</v>
      </c>
      <c r="O15" s="8" t="str">
        <f t="shared" si="3"/>
        <v>#DIV/0!</v>
      </c>
    </row>
    <row r="16" ht="15.75" customHeight="1">
      <c r="A16" s="5" t="s">
        <v>29</v>
      </c>
      <c r="B16" s="6">
        <v>2.5</v>
      </c>
      <c r="C16" s="6">
        <v>0.0</v>
      </c>
      <c r="D16" s="6">
        <v>4.5</v>
      </c>
      <c r="E16" s="6">
        <v>4.0</v>
      </c>
      <c r="F16" s="6">
        <v>4.0</v>
      </c>
      <c r="G16" s="6">
        <v>3.5</v>
      </c>
      <c r="H16" s="6">
        <v>4.0</v>
      </c>
      <c r="I16" s="6">
        <v>5.0</v>
      </c>
      <c r="J16" s="6">
        <v>4.0</v>
      </c>
      <c r="K16" s="6">
        <v>3.0</v>
      </c>
      <c r="M16" s="7">
        <f>sqrt(B16^2 +C16^2+D16^2+E16^2+F16^2+G16^2+H16^2+I16^2+J16^2+K16^2)</f>
        <v>11.69401556</v>
      </c>
    </row>
    <row r="17" ht="15.75" customHeight="1">
      <c r="B17" s="9"/>
      <c r="C17" s="9"/>
      <c r="D17" s="9"/>
      <c r="E17" s="9"/>
      <c r="F17" s="9"/>
      <c r="G17" s="9"/>
      <c r="H17" s="9"/>
      <c r="I17" s="9"/>
      <c r="J17" s="9"/>
      <c r="K17" s="9"/>
    </row>
    <row r="18" ht="15.75" customHeight="1">
      <c r="B18" s="9"/>
      <c r="C18" s="9"/>
      <c r="D18" s="9"/>
      <c r="E18" s="9"/>
      <c r="F18" s="9"/>
      <c r="G18" s="9"/>
      <c r="H18" s="9"/>
      <c r="I18" s="9"/>
      <c r="J18" s="9"/>
      <c r="K18" s="9"/>
    </row>
    <row r="19" ht="15.75" customHeight="1">
      <c r="B19" s="9"/>
      <c r="C19" s="9"/>
      <c r="D19" s="9"/>
      <c r="E19" s="9"/>
      <c r="F19" s="9"/>
      <c r="G19" s="9"/>
      <c r="H19" s="9"/>
      <c r="I19" s="9"/>
      <c r="J19" s="9"/>
      <c r="K19" s="9"/>
    </row>
    <row r="20" ht="15.75" customHeight="1">
      <c r="B20" s="9"/>
      <c r="C20" s="9"/>
      <c r="D20" s="9"/>
      <c r="E20" s="9"/>
      <c r="F20" s="9"/>
      <c r="G20" s="9"/>
      <c r="H20" s="9"/>
      <c r="I20" s="9"/>
      <c r="J20" s="9"/>
      <c r="K20" s="9"/>
    </row>
    <row r="21" ht="15.75" customHeight="1">
      <c r="B21" s="9"/>
      <c r="C21" s="9"/>
      <c r="D21" s="9"/>
      <c r="E21" s="9"/>
      <c r="F21" s="9"/>
      <c r="G21" s="9"/>
      <c r="H21" s="9"/>
      <c r="I21" s="9"/>
      <c r="J21" s="9"/>
      <c r="K21" s="9"/>
    </row>
    <row r="22" ht="15.75" customHeight="1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ht="15.75" customHeight="1">
      <c r="B23" s="9"/>
      <c r="C23" s="9"/>
      <c r="D23" s="9"/>
      <c r="E23" s="9"/>
      <c r="F23" s="9"/>
      <c r="G23" s="9"/>
      <c r="H23" s="9"/>
      <c r="I23" s="9"/>
      <c r="J23" s="9"/>
      <c r="K23" s="9"/>
    </row>
    <row r="24" ht="15.75" customHeight="1">
      <c r="B24" s="9"/>
      <c r="C24" s="9"/>
      <c r="D24" s="9"/>
      <c r="E24" s="9"/>
      <c r="F24" s="9"/>
      <c r="G24" s="9"/>
      <c r="H24" s="9"/>
      <c r="I24" s="9"/>
      <c r="J24" s="9"/>
      <c r="K24" s="9"/>
    </row>
    <row r="25" ht="15.75" customHeight="1">
      <c r="B25" s="9"/>
      <c r="C25" s="9"/>
      <c r="D25" s="9"/>
      <c r="E25" s="9"/>
      <c r="F25" s="9"/>
      <c r="G25" s="9"/>
      <c r="H25" s="9"/>
      <c r="I25" s="9"/>
      <c r="J25" s="9"/>
      <c r="K25" s="9"/>
    </row>
    <row r="26" ht="15.75" customHeight="1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ht="15.75" customHeight="1">
      <c r="B27" s="9"/>
      <c r="C27" s="9"/>
      <c r="D27" s="9"/>
      <c r="E27" s="9"/>
      <c r="F27" s="9"/>
      <c r="G27" s="9"/>
      <c r="H27" s="9"/>
      <c r="I27" s="9"/>
      <c r="J27" s="9"/>
      <c r="K27" s="9"/>
    </row>
    <row r="28" ht="15.75" customHeight="1">
      <c r="B28" s="9"/>
      <c r="C28" s="9"/>
      <c r="D28" s="9"/>
      <c r="E28" s="9"/>
      <c r="F28" s="9"/>
      <c r="G28" s="9"/>
      <c r="H28" s="9"/>
      <c r="I28" s="9"/>
      <c r="J28" s="9"/>
      <c r="K28" s="9"/>
    </row>
    <row r="29" ht="15.75" customHeight="1">
      <c r="B29" s="9"/>
      <c r="C29" s="9"/>
      <c r="D29" s="9"/>
      <c r="E29" s="9"/>
      <c r="F29" s="9"/>
      <c r="G29" s="9"/>
      <c r="H29" s="9"/>
      <c r="I29" s="9"/>
      <c r="J29" s="9"/>
      <c r="K29" s="9"/>
    </row>
    <row r="30" ht="15.75" customHeight="1">
      <c r="B30" s="9"/>
      <c r="C30" s="9"/>
      <c r="D30" s="9"/>
      <c r="E30" s="9"/>
      <c r="F30" s="9"/>
      <c r="G30" s="9"/>
      <c r="H30" s="9"/>
      <c r="I30" s="9"/>
      <c r="J30" s="9"/>
      <c r="K30" s="9"/>
    </row>
    <row r="31" ht="15.75" customHeight="1">
      <c r="B31" s="9"/>
      <c r="C31" s="9"/>
      <c r="D31" s="9"/>
      <c r="E31" s="9"/>
      <c r="F31" s="9"/>
      <c r="G31" s="9"/>
      <c r="H31" s="9"/>
      <c r="I31" s="9"/>
      <c r="J31" s="9"/>
      <c r="K31" s="9"/>
    </row>
    <row r="32" ht="15.75" customHeight="1">
      <c r="B32" s="9"/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B33" s="9"/>
      <c r="C33" s="9"/>
      <c r="D33" s="9"/>
      <c r="E33" s="9"/>
      <c r="F33" s="9"/>
      <c r="G33" s="9"/>
      <c r="H33" s="9"/>
      <c r="I33" s="9"/>
      <c r="J33" s="9"/>
      <c r="K33" s="9"/>
    </row>
    <row r="34" ht="15.75" customHeight="1">
      <c r="B34" s="9"/>
      <c r="C34" s="9"/>
      <c r="D34" s="9"/>
      <c r="E34" s="9"/>
      <c r="F34" s="9"/>
      <c r="G34" s="9"/>
      <c r="H34" s="9"/>
      <c r="I34" s="9"/>
      <c r="J34" s="9"/>
      <c r="K34" s="9"/>
    </row>
    <row r="35" ht="15.75" customHeight="1"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B36" s="9"/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B38" s="9"/>
      <c r="C38" s="9"/>
      <c r="D38" s="9"/>
      <c r="E38" s="9"/>
      <c r="F38" s="9"/>
      <c r="G38" s="9"/>
      <c r="H38" s="9"/>
      <c r="I38" s="9"/>
      <c r="J38" s="9"/>
      <c r="K38" s="9"/>
    </row>
    <row r="39" ht="15.75" customHeight="1">
      <c r="B39" s="9"/>
      <c r="C39" s="9"/>
      <c r="D39" s="9"/>
      <c r="E39" s="9"/>
      <c r="F39" s="9"/>
      <c r="G39" s="9"/>
      <c r="H39" s="9"/>
      <c r="I39" s="9"/>
      <c r="J39" s="9"/>
      <c r="K39" s="9"/>
    </row>
    <row r="40" ht="15.75" customHeight="1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ht="15.75" customHeight="1">
      <c r="B41" s="9"/>
      <c r="C41" s="9"/>
      <c r="D41" s="9"/>
      <c r="E41" s="9"/>
      <c r="F41" s="9"/>
      <c r="G41" s="9"/>
      <c r="H41" s="9"/>
      <c r="I41" s="9"/>
      <c r="J41" s="9"/>
      <c r="K41" s="9"/>
    </row>
    <row r="42" ht="15.75" customHeight="1">
      <c r="B42" s="9"/>
      <c r="C42" s="9"/>
      <c r="D42" s="9"/>
      <c r="E42" s="9"/>
      <c r="F42" s="9"/>
      <c r="G42" s="9"/>
      <c r="H42" s="9"/>
      <c r="I42" s="9"/>
      <c r="J42" s="9"/>
      <c r="K42" s="9"/>
    </row>
    <row r="43" ht="15.75" customHeight="1">
      <c r="B43" s="9"/>
      <c r="C43" s="9"/>
      <c r="D43" s="9"/>
      <c r="E43" s="9"/>
      <c r="F43" s="9"/>
      <c r="G43" s="9"/>
      <c r="H43" s="9"/>
      <c r="I43" s="9"/>
      <c r="J43" s="9"/>
      <c r="K43" s="9"/>
    </row>
    <row r="44" ht="15.75" customHeight="1">
      <c r="B44" s="9"/>
      <c r="C44" s="9"/>
      <c r="D44" s="9"/>
      <c r="E44" s="9"/>
      <c r="F44" s="9"/>
      <c r="G44" s="9"/>
      <c r="H44" s="9"/>
      <c r="I44" s="9"/>
      <c r="J44" s="9"/>
      <c r="K44" s="9"/>
    </row>
    <row r="45" ht="15.75" customHeight="1">
      <c r="B45" s="9"/>
      <c r="C45" s="9"/>
      <c r="D45" s="9"/>
      <c r="E45" s="9"/>
      <c r="F45" s="9"/>
      <c r="G45" s="9"/>
      <c r="H45" s="9"/>
      <c r="I45" s="9"/>
      <c r="J45" s="9"/>
      <c r="K45" s="9"/>
    </row>
    <row r="46" ht="15.75" customHeight="1">
      <c r="B46" s="9"/>
      <c r="C46" s="9"/>
      <c r="D46" s="9"/>
      <c r="E46" s="9"/>
      <c r="F46" s="9"/>
      <c r="G46" s="9"/>
      <c r="H46" s="9"/>
      <c r="I46" s="9"/>
      <c r="J46" s="9"/>
      <c r="K46" s="9"/>
    </row>
    <row r="47" ht="15.75" customHeight="1">
      <c r="B47" s="9"/>
      <c r="C47" s="9"/>
      <c r="D47" s="9"/>
      <c r="E47" s="9"/>
      <c r="F47" s="9"/>
      <c r="G47" s="9"/>
      <c r="H47" s="9"/>
      <c r="I47" s="9"/>
      <c r="J47" s="9"/>
      <c r="K47" s="9"/>
    </row>
    <row r="48" ht="15.75" customHeight="1">
      <c r="B48" s="9"/>
      <c r="C48" s="9"/>
      <c r="D48" s="9"/>
      <c r="E48" s="9"/>
      <c r="F48" s="9"/>
      <c r="G48" s="9"/>
      <c r="H48" s="9"/>
      <c r="I48" s="9"/>
      <c r="J48" s="9"/>
      <c r="K48" s="9"/>
    </row>
    <row r="49" ht="15.75" customHeight="1">
      <c r="B49" s="9"/>
      <c r="C49" s="9"/>
      <c r="D49" s="9"/>
      <c r="E49" s="9"/>
      <c r="F49" s="9"/>
      <c r="G49" s="9"/>
      <c r="H49" s="9"/>
      <c r="I49" s="9"/>
      <c r="J49" s="9"/>
      <c r="K49" s="9"/>
    </row>
    <row r="50" ht="15.75" customHeight="1">
      <c r="B50" s="9"/>
      <c r="C50" s="9"/>
      <c r="D50" s="9"/>
      <c r="E50" s="9"/>
      <c r="F50" s="9"/>
      <c r="G50" s="9"/>
      <c r="H50" s="9"/>
      <c r="I50" s="9"/>
      <c r="J50" s="9"/>
      <c r="K50" s="9"/>
    </row>
    <row r="51" ht="15.75" customHeight="1">
      <c r="B51" s="9"/>
      <c r="C51" s="9"/>
      <c r="D51" s="9"/>
      <c r="E51" s="9"/>
      <c r="F51" s="9"/>
      <c r="G51" s="9"/>
      <c r="H51" s="9"/>
      <c r="I51" s="9"/>
      <c r="J51" s="9"/>
      <c r="K51" s="9"/>
    </row>
    <row r="52" ht="15.75" customHeight="1">
      <c r="B52" s="9"/>
      <c r="C52" s="9"/>
      <c r="D52" s="9"/>
      <c r="E52" s="9"/>
      <c r="F52" s="9"/>
      <c r="G52" s="9"/>
      <c r="H52" s="9"/>
      <c r="I52" s="9"/>
      <c r="J52" s="9"/>
      <c r="K52" s="9"/>
    </row>
    <row r="53" ht="15.75" customHeight="1"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5.75" customHeight="1"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15.75" customHeight="1"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5.75" customHeight="1">
      <c r="B56" s="9"/>
      <c r="C56" s="9"/>
      <c r="D56" s="9"/>
      <c r="E56" s="9"/>
      <c r="F56" s="9"/>
      <c r="G56" s="9"/>
      <c r="H56" s="9"/>
      <c r="I56" s="9"/>
      <c r="J56" s="9"/>
      <c r="K56" s="9"/>
    </row>
    <row r="57" ht="15.75" customHeight="1">
      <c r="B57" s="9"/>
      <c r="C57" s="9"/>
      <c r="D57" s="9"/>
      <c r="E57" s="9"/>
      <c r="F57" s="9"/>
      <c r="G57" s="9"/>
      <c r="H57" s="9"/>
      <c r="I57" s="9"/>
      <c r="J57" s="9"/>
      <c r="K57" s="9"/>
    </row>
    <row r="58" ht="15.75" customHeight="1">
      <c r="B58" s="9"/>
      <c r="C58" s="9"/>
      <c r="D58" s="9"/>
      <c r="E58" s="9"/>
      <c r="F58" s="9"/>
      <c r="G58" s="9"/>
      <c r="H58" s="9"/>
      <c r="I58" s="9"/>
      <c r="J58" s="9"/>
      <c r="K58" s="9"/>
    </row>
    <row r="59" ht="15.75" customHeight="1">
      <c r="B59" s="9"/>
      <c r="C59" s="9"/>
      <c r="D59" s="9"/>
      <c r="E59" s="9"/>
      <c r="F59" s="9"/>
      <c r="G59" s="9"/>
      <c r="H59" s="9"/>
      <c r="I59" s="9"/>
      <c r="J59" s="9"/>
      <c r="K59" s="9"/>
    </row>
    <row r="60" ht="15.75" customHeight="1">
      <c r="B60" s="9"/>
      <c r="C60" s="9"/>
      <c r="D60" s="9"/>
      <c r="E60" s="9"/>
      <c r="F60" s="9"/>
      <c r="G60" s="9"/>
      <c r="H60" s="9"/>
      <c r="I60" s="9"/>
      <c r="J60" s="9"/>
      <c r="K60" s="9"/>
    </row>
    <row r="61" ht="15.75" customHeight="1">
      <c r="B61" s="9"/>
      <c r="C61" s="9"/>
      <c r="D61" s="9"/>
      <c r="E61" s="9"/>
      <c r="F61" s="9"/>
      <c r="G61" s="9"/>
      <c r="H61" s="9"/>
      <c r="I61" s="9"/>
      <c r="J61" s="9"/>
      <c r="K61" s="9"/>
    </row>
    <row r="62" ht="15.75" customHeight="1">
      <c r="B62" s="9"/>
      <c r="C62" s="9"/>
      <c r="D62" s="9"/>
      <c r="E62" s="9"/>
      <c r="F62" s="9"/>
      <c r="G62" s="9"/>
      <c r="H62" s="9"/>
      <c r="I62" s="9"/>
      <c r="J62" s="9"/>
      <c r="K62" s="9"/>
    </row>
    <row r="63" ht="15.75" customHeight="1">
      <c r="B63" s="9"/>
      <c r="C63" s="9"/>
      <c r="D63" s="9"/>
      <c r="E63" s="9"/>
      <c r="F63" s="9"/>
      <c r="G63" s="9"/>
      <c r="H63" s="9"/>
      <c r="I63" s="9"/>
      <c r="J63" s="9"/>
      <c r="K63" s="9"/>
    </row>
    <row r="64" ht="15.75" customHeight="1">
      <c r="B64" s="9"/>
      <c r="C64" s="9"/>
      <c r="D64" s="9"/>
      <c r="E64" s="9"/>
      <c r="F64" s="9"/>
      <c r="G64" s="9"/>
      <c r="H64" s="9"/>
      <c r="I64" s="9"/>
      <c r="J64" s="9"/>
      <c r="K64" s="9"/>
    </row>
    <row r="65" ht="15.75" customHeight="1">
      <c r="B65" s="9"/>
      <c r="C65" s="9"/>
      <c r="D65" s="9"/>
      <c r="E65" s="9"/>
      <c r="F65" s="9"/>
      <c r="G65" s="9"/>
      <c r="H65" s="9"/>
      <c r="I65" s="9"/>
      <c r="J65" s="9"/>
      <c r="K65" s="9"/>
    </row>
    <row r="66" ht="15.75" customHeight="1">
      <c r="B66" s="9"/>
      <c r="C66" s="9"/>
      <c r="D66" s="9"/>
      <c r="E66" s="9"/>
      <c r="F66" s="9"/>
      <c r="G66" s="9"/>
      <c r="H66" s="9"/>
      <c r="I66" s="9"/>
      <c r="J66" s="9"/>
      <c r="K66" s="9"/>
    </row>
    <row r="67" ht="15.75" customHeight="1">
      <c r="B67" s="9"/>
      <c r="C67" s="9"/>
      <c r="D67" s="9"/>
      <c r="E67" s="9"/>
      <c r="F67" s="9"/>
      <c r="G67" s="9"/>
      <c r="H67" s="9"/>
      <c r="I67" s="9"/>
      <c r="J67" s="9"/>
      <c r="K67" s="9"/>
    </row>
    <row r="68" ht="15.75" customHeight="1">
      <c r="B68" s="9"/>
      <c r="C68" s="9"/>
      <c r="D68" s="9"/>
      <c r="E68" s="9"/>
      <c r="F68" s="9"/>
      <c r="G68" s="9"/>
      <c r="H68" s="9"/>
      <c r="I68" s="9"/>
      <c r="J68" s="9"/>
      <c r="K68" s="9"/>
    </row>
    <row r="69" ht="15.75" customHeight="1">
      <c r="B69" s="9"/>
      <c r="C69" s="9"/>
      <c r="D69" s="9"/>
      <c r="E69" s="9"/>
      <c r="F69" s="9"/>
      <c r="G69" s="9"/>
      <c r="H69" s="9"/>
      <c r="I69" s="9"/>
      <c r="J69" s="9"/>
      <c r="K69" s="9"/>
    </row>
    <row r="70" ht="15.75" customHeight="1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ht="15.75" customHeight="1">
      <c r="B71" s="9"/>
      <c r="C71" s="9"/>
      <c r="D71" s="9"/>
      <c r="E71" s="9"/>
      <c r="F71" s="9"/>
      <c r="G71" s="9"/>
      <c r="H71" s="9"/>
      <c r="I71" s="9"/>
      <c r="J71" s="9"/>
      <c r="K71" s="9"/>
    </row>
    <row r="72" ht="15.75" customHeight="1">
      <c r="B72" s="9"/>
      <c r="C72" s="9"/>
      <c r="D72" s="9"/>
      <c r="E72" s="9"/>
      <c r="F72" s="9"/>
      <c r="G72" s="9"/>
      <c r="H72" s="9"/>
      <c r="I72" s="9"/>
      <c r="J72" s="9"/>
      <c r="K72" s="9"/>
    </row>
    <row r="73" ht="15.75" customHeight="1">
      <c r="B73" s="9"/>
      <c r="C73" s="9"/>
      <c r="D73" s="9"/>
      <c r="E73" s="9"/>
      <c r="F73" s="9"/>
      <c r="G73" s="9"/>
      <c r="H73" s="9"/>
      <c r="I73" s="9"/>
      <c r="J73" s="9"/>
      <c r="K73" s="9"/>
    </row>
    <row r="74" ht="15.75" customHeight="1">
      <c r="B74" s="9"/>
      <c r="C74" s="9"/>
      <c r="D74" s="9"/>
      <c r="E74" s="9"/>
      <c r="F74" s="9"/>
      <c r="G74" s="9"/>
      <c r="H74" s="9"/>
      <c r="I74" s="9"/>
      <c r="J74" s="9"/>
      <c r="K74" s="9"/>
    </row>
    <row r="75" ht="15.75" customHeight="1">
      <c r="B75" s="9"/>
      <c r="C75" s="9"/>
      <c r="D75" s="9"/>
      <c r="E75" s="9"/>
      <c r="F75" s="9"/>
      <c r="G75" s="9"/>
      <c r="H75" s="9"/>
      <c r="I75" s="9"/>
      <c r="J75" s="9"/>
      <c r="K75" s="9"/>
    </row>
    <row r="76" ht="15.75" customHeight="1">
      <c r="B76" s="9"/>
      <c r="C76" s="9"/>
      <c r="D76" s="9"/>
      <c r="E76" s="9"/>
      <c r="F76" s="9"/>
      <c r="G76" s="9"/>
      <c r="H76" s="9"/>
      <c r="I76" s="9"/>
      <c r="J76" s="9"/>
      <c r="K76" s="9"/>
    </row>
    <row r="77" ht="15.75" customHeight="1">
      <c r="B77" s="9"/>
      <c r="C77" s="9"/>
      <c r="D77" s="9"/>
      <c r="E77" s="9"/>
      <c r="F77" s="9"/>
      <c r="G77" s="9"/>
      <c r="H77" s="9"/>
      <c r="I77" s="9"/>
      <c r="J77" s="9"/>
      <c r="K77" s="9"/>
    </row>
    <row r="78" ht="15.75" customHeight="1">
      <c r="B78" s="9"/>
      <c r="C78" s="9"/>
      <c r="D78" s="9"/>
      <c r="E78" s="9"/>
      <c r="F78" s="9"/>
      <c r="G78" s="9"/>
      <c r="H78" s="9"/>
      <c r="I78" s="9"/>
      <c r="J78" s="9"/>
      <c r="K78" s="9"/>
    </row>
    <row r="79" ht="15.75" customHeight="1">
      <c r="B79" s="9"/>
      <c r="C79" s="9"/>
      <c r="D79" s="9"/>
      <c r="E79" s="9"/>
      <c r="F79" s="9"/>
      <c r="G79" s="9"/>
      <c r="H79" s="9"/>
      <c r="I79" s="9"/>
      <c r="J79" s="9"/>
      <c r="K79" s="9"/>
    </row>
    <row r="80" ht="15.75" customHeight="1">
      <c r="B80" s="9"/>
      <c r="C80" s="9"/>
      <c r="D80" s="9"/>
      <c r="E80" s="9"/>
      <c r="F80" s="9"/>
      <c r="G80" s="9"/>
      <c r="H80" s="9"/>
      <c r="I80" s="9"/>
      <c r="J80" s="9"/>
      <c r="K80" s="9"/>
    </row>
    <row r="81" ht="15.75" customHeight="1">
      <c r="B81" s="9"/>
      <c r="C81" s="9"/>
      <c r="D81" s="9"/>
      <c r="E81" s="9"/>
      <c r="F81" s="9"/>
      <c r="G81" s="9"/>
      <c r="H81" s="9"/>
      <c r="I81" s="9"/>
      <c r="J81" s="9"/>
      <c r="K81" s="9"/>
    </row>
    <row r="82" ht="15.75" customHeight="1">
      <c r="B82" s="9"/>
      <c r="C82" s="9"/>
      <c r="D82" s="9"/>
      <c r="E82" s="9"/>
      <c r="F82" s="9"/>
      <c r="G82" s="9"/>
      <c r="H82" s="9"/>
      <c r="I82" s="9"/>
      <c r="J82" s="9"/>
      <c r="K82" s="9"/>
    </row>
    <row r="83" ht="15.75" customHeight="1">
      <c r="B83" s="9"/>
      <c r="C83" s="9"/>
      <c r="D83" s="9"/>
      <c r="E83" s="9"/>
      <c r="F83" s="9"/>
      <c r="G83" s="9"/>
      <c r="H83" s="9"/>
      <c r="I83" s="9"/>
      <c r="J83" s="9"/>
      <c r="K83" s="9"/>
    </row>
    <row r="84" ht="15.75" customHeight="1">
      <c r="B84" s="9"/>
      <c r="C84" s="9"/>
      <c r="D84" s="9"/>
      <c r="E84" s="9"/>
      <c r="F84" s="9"/>
      <c r="G84" s="9"/>
      <c r="H84" s="9"/>
      <c r="I84" s="9"/>
      <c r="J84" s="9"/>
      <c r="K84" s="9"/>
    </row>
    <row r="85" ht="15.75" customHeight="1">
      <c r="B85" s="9"/>
      <c r="C85" s="9"/>
      <c r="D85" s="9"/>
      <c r="E85" s="9"/>
      <c r="F85" s="9"/>
      <c r="G85" s="9"/>
      <c r="H85" s="9"/>
      <c r="I85" s="9"/>
      <c r="J85" s="9"/>
      <c r="K85" s="9"/>
    </row>
    <row r="86" ht="15.75" customHeight="1">
      <c r="B86" s="9"/>
      <c r="C86" s="9"/>
      <c r="D86" s="9"/>
      <c r="E86" s="9"/>
      <c r="F86" s="9"/>
      <c r="G86" s="9"/>
      <c r="H86" s="9"/>
      <c r="I86" s="9"/>
      <c r="J86" s="9"/>
      <c r="K86" s="9"/>
    </row>
    <row r="87" ht="15.75" customHeight="1">
      <c r="B87" s="9"/>
      <c r="C87" s="9"/>
      <c r="D87" s="9"/>
      <c r="E87" s="9"/>
      <c r="F87" s="9"/>
      <c r="G87" s="9"/>
      <c r="H87" s="9"/>
      <c r="I87" s="9"/>
      <c r="J87" s="9"/>
      <c r="K87" s="9"/>
    </row>
    <row r="88" ht="15.75" customHeight="1">
      <c r="B88" s="9"/>
      <c r="C88" s="9"/>
      <c r="D88" s="9"/>
      <c r="E88" s="9"/>
      <c r="F88" s="9"/>
      <c r="G88" s="9"/>
      <c r="H88" s="9"/>
      <c r="I88" s="9"/>
      <c r="J88" s="9"/>
      <c r="K88" s="9"/>
    </row>
    <row r="89" ht="15.75" customHeight="1">
      <c r="B89" s="9"/>
      <c r="C89" s="9"/>
      <c r="D89" s="9"/>
      <c r="E89" s="9"/>
      <c r="F89" s="9"/>
      <c r="G89" s="9"/>
      <c r="H89" s="9"/>
      <c r="I89" s="9"/>
      <c r="J89" s="9"/>
      <c r="K89" s="9"/>
    </row>
    <row r="90" ht="15.75" customHeight="1">
      <c r="B90" s="9"/>
      <c r="C90" s="9"/>
      <c r="D90" s="9"/>
      <c r="E90" s="9"/>
      <c r="F90" s="9"/>
      <c r="G90" s="9"/>
      <c r="H90" s="9"/>
      <c r="I90" s="9"/>
      <c r="J90" s="9"/>
      <c r="K90" s="9"/>
    </row>
    <row r="91" ht="15.75" customHeight="1">
      <c r="B91" s="9"/>
      <c r="C91" s="9"/>
      <c r="D91" s="9"/>
      <c r="E91" s="9"/>
      <c r="F91" s="9"/>
      <c r="G91" s="9"/>
      <c r="H91" s="9"/>
      <c r="I91" s="9"/>
      <c r="J91" s="9"/>
      <c r="K91" s="9"/>
    </row>
    <row r="92" ht="15.75" customHeight="1">
      <c r="B92" s="9"/>
      <c r="C92" s="9"/>
      <c r="D92" s="9"/>
      <c r="E92" s="9"/>
      <c r="F92" s="9"/>
      <c r="G92" s="9"/>
      <c r="H92" s="9"/>
      <c r="I92" s="9"/>
      <c r="J92" s="9"/>
      <c r="K92" s="9"/>
    </row>
    <row r="93" ht="15.75" customHeight="1">
      <c r="B93" s="9"/>
      <c r="C93" s="9"/>
      <c r="D93" s="9"/>
      <c r="E93" s="9"/>
      <c r="F93" s="9"/>
      <c r="G93" s="9"/>
      <c r="H93" s="9"/>
      <c r="I93" s="9"/>
      <c r="J93" s="9"/>
      <c r="K93" s="9"/>
    </row>
    <row r="94" ht="15.75" customHeight="1">
      <c r="B94" s="9"/>
      <c r="C94" s="9"/>
      <c r="D94" s="9"/>
      <c r="E94" s="9"/>
      <c r="F94" s="9"/>
      <c r="G94" s="9"/>
      <c r="H94" s="9"/>
      <c r="I94" s="9"/>
      <c r="J94" s="9"/>
      <c r="K94" s="9"/>
    </row>
    <row r="95" ht="15.75" customHeight="1">
      <c r="B95" s="9"/>
      <c r="C95" s="9"/>
      <c r="D95" s="9"/>
      <c r="E95" s="9"/>
      <c r="F95" s="9"/>
      <c r="G95" s="9"/>
      <c r="H95" s="9"/>
      <c r="I95" s="9"/>
      <c r="J95" s="9"/>
      <c r="K95" s="9"/>
    </row>
    <row r="96" ht="15.75" customHeight="1">
      <c r="B96" s="9"/>
      <c r="C96" s="9"/>
      <c r="D96" s="9"/>
      <c r="E96" s="9"/>
      <c r="F96" s="9"/>
      <c r="G96" s="9"/>
      <c r="H96" s="9"/>
      <c r="I96" s="9"/>
      <c r="J96" s="9"/>
      <c r="K96" s="9"/>
    </row>
    <row r="97" ht="15.75" customHeight="1">
      <c r="B97" s="9"/>
      <c r="C97" s="9"/>
      <c r="D97" s="9"/>
      <c r="E97" s="9"/>
      <c r="F97" s="9"/>
      <c r="G97" s="9"/>
      <c r="H97" s="9"/>
      <c r="I97" s="9"/>
      <c r="J97" s="9"/>
      <c r="K97" s="9"/>
    </row>
    <row r="98" ht="15.75" customHeight="1">
      <c r="B98" s="9"/>
      <c r="C98" s="9"/>
      <c r="D98" s="9"/>
      <c r="E98" s="9"/>
      <c r="F98" s="9"/>
      <c r="G98" s="9"/>
      <c r="H98" s="9"/>
      <c r="I98" s="9"/>
      <c r="J98" s="9"/>
      <c r="K98" s="9"/>
    </row>
    <row r="99" ht="15.75" customHeight="1"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ht="15.75" customHeight="1"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ht="15.75" customHeight="1"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ht="15.75" customHeight="1"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ht="15.75" customHeight="1"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ht="15.75" customHeight="1"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ht="15.75" customHeight="1"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ht="15.75" customHeight="1"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ht="15.75" customHeight="1"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ht="15.75" customHeight="1"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ht="15.75" customHeight="1"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ht="15.75" customHeight="1"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ht="15.75" customHeight="1"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ht="15.75" customHeight="1"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ht="15.75" customHeight="1"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ht="15.75" customHeight="1"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ht="15.75" customHeight="1"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ht="15.75" customHeight="1"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ht="15.75" customHeight="1"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ht="15.75" customHeight="1"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ht="15.75" customHeight="1"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ht="15.75" customHeight="1"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ht="15.75" customHeight="1"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ht="15.75" customHeight="1"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ht="15.75" customHeight="1"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ht="15.75" customHeight="1"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ht="15.75" customHeight="1"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ht="15.75" customHeight="1"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ht="15.75" customHeight="1"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ht="15.75" customHeight="1"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ht="15.75" customHeight="1"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ht="15.75" customHeight="1"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ht="15.75" customHeight="1"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ht="15.75" customHeight="1"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ht="15.75" customHeight="1"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ht="15.75" customHeight="1"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ht="15.75" customHeight="1"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ht="15.75" customHeight="1"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ht="15.75" customHeight="1"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ht="15.75" customHeight="1"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ht="15.75" customHeight="1"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ht="15.75" customHeight="1"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ht="15.75" customHeight="1"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ht="15.75" customHeight="1"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ht="15.75" customHeight="1"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ht="15.75" customHeight="1"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ht="15.75" customHeight="1"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ht="15.75" customHeight="1"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ht="15.75" customHeight="1"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ht="15.75" customHeight="1"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ht="15.75" customHeight="1"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ht="15.75" customHeight="1"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ht="15.75" customHeight="1"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ht="15.75" customHeight="1"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ht="15.75" customHeight="1"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ht="15.75" customHeight="1"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ht="15.75" customHeight="1"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ht="15.75" customHeight="1"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ht="15.75" customHeight="1"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ht="15.75" customHeight="1"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ht="15.75" customHeight="1"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ht="15.75" customHeight="1"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ht="15.75" customHeight="1"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ht="15.75" customHeight="1"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ht="15.75" customHeight="1"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ht="15.75" customHeight="1"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ht="15.75" customHeight="1"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ht="15.75" customHeight="1"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ht="15.75" customHeight="1"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ht="15.75" customHeight="1"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ht="15.75" customHeight="1"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ht="15.75" customHeight="1"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ht="15.75" customHeight="1"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ht="15.75" customHeight="1"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ht="15.75" customHeight="1"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000">
    <sortState ref="A1:O1000">
      <sortCondition ref="O1:O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6" width="12.63"/>
  </cols>
  <sheetData>
    <row r="1" ht="15.75" customHeight="1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1" t="s">
        <v>11</v>
      </c>
      <c r="M1" s="11" t="s">
        <v>12</v>
      </c>
      <c r="N1" s="11" t="s">
        <v>13</v>
      </c>
      <c r="O1" s="11" t="s">
        <v>14</v>
      </c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5.75" customHeight="1">
      <c r="A2" s="10" t="s">
        <v>41</v>
      </c>
      <c r="B2" s="13"/>
      <c r="C2" s="14">
        <v>6.79</v>
      </c>
      <c r="D2" s="14">
        <v>65.59</v>
      </c>
      <c r="E2" s="14">
        <v>34.05</v>
      </c>
      <c r="F2" s="14">
        <v>0.0</v>
      </c>
      <c r="G2" s="14">
        <v>0.0</v>
      </c>
      <c r="H2" s="14">
        <v>58.0</v>
      </c>
      <c r="I2" s="14">
        <v>0.0</v>
      </c>
      <c r="J2" s="14">
        <v>73.5</v>
      </c>
      <c r="K2" s="14">
        <v>54.28</v>
      </c>
      <c r="L2" s="15"/>
      <c r="M2" s="15">
        <f>sqrt(C2^2+D2^2+E2^2+F2^2+G2^2+H2^2+I2^2+J2^2+K2^2)</f>
        <v>131.2254667</v>
      </c>
      <c r="N2" s="11"/>
      <c r="O2" s="11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5.75" customHeight="1">
      <c r="A3" s="16" t="s">
        <v>42</v>
      </c>
      <c r="B3" s="16" t="s">
        <v>43</v>
      </c>
      <c r="C3" s="17">
        <v>26.6298434148211</v>
      </c>
      <c r="D3" s="17">
        <v>84.9609375</v>
      </c>
      <c r="E3" s="17">
        <v>35.1758793969849</v>
      </c>
      <c r="F3" s="17">
        <v>0.117418032786885</v>
      </c>
      <c r="G3" s="17">
        <v>15.7027412454444</v>
      </c>
      <c r="H3" s="17">
        <v>46.7628595521409</v>
      </c>
      <c r="I3" s="17">
        <v>15.2773981962284</v>
      </c>
      <c r="J3" s="17">
        <v>21.1601832701651</v>
      </c>
      <c r="K3" s="17">
        <v>6.64752650176678</v>
      </c>
      <c r="L3" s="15">
        <f t="shared" ref="L3:L44" si="1">(6.79*C3)+(65.59*D3)+(34.05*E3)+(0*F3)+(0*G3)+(58*H3)+(0*I3)+(73.5*J3)+(54.28*K3)</f>
        <v>11579.49028</v>
      </c>
      <c r="M3" s="18"/>
      <c r="N3" s="15">
        <f t="shared" ref="N3:N44" si="2">sqrt(C3^2+D3^2+E3^2+F3^2+G3^2+H3^2+I3^2+J3^2+K3^2)</f>
        <v>111.0114801</v>
      </c>
      <c r="O3" s="15">
        <f t="shared" ref="O3:O44" si="3">(L3)/(131.2*N3)</f>
        <v>0.7950376844</v>
      </c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5.75" customHeight="1">
      <c r="A4" s="16" t="s">
        <v>44</v>
      </c>
      <c r="B4" s="16" t="s">
        <v>43</v>
      </c>
      <c r="C4" s="17">
        <v>5.83126936588702</v>
      </c>
      <c r="D4" s="17">
        <v>66.2109375</v>
      </c>
      <c r="E4" s="17">
        <v>30.4020100502512</v>
      </c>
      <c r="F4" s="19">
        <v>2.11065573770491E-4</v>
      </c>
      <c r="G4" s="17">
        <v>6.82934558707019</v>
      </c>
      <c r="H4" s="17">
        <v>67.3287735</v>
      </c>
      <c r="I4" s="17">
        <v>8.82754851052199</v>
      </c>
      <c r="J4" s="17">
        <v>32.1346224258557</v>
      </c>
      <c r="K4" s="17">
        <v>0.0</v>
      </c>
      <c r="L4" s="20">
        <f t="shared" si="1"/>
        <v>11684.52176</v>
      </c>
      <c r="M4" s="18"/>
      <c r="N4" s="15">
        <f t="shared" si="2"/>
        <v>105.0358864</v>
      </c>
      <c r="O4" s="20">
        <f t="shared" si="3"/>
        <v>0.8478897826</v>
      </c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5.75" customHeight="1">
      <c r="A5" s="16" t="s">
        <v>45</v>
      </c>
      <c r="B5" s="16" t="s">
        <v>43</v>
      </c>
      <c r="C5" s="17">
        <v>13.3651823372747</v>
      </c>
      <c r="D5" s="17">
        <v>66.2109375</v>
      </c>
      <c r="E5" s="17">
        <v>61.180904522613</v>
      </c>
      <c r="F5" s="19">
        <v>3.68852459016393E-4</v>
      </c>
      <c r="G5" s="17">
        <v>13.3259388369513</v>
      </c>
      <c r="H5" s="17">
        <v>83.4723133139698</v>
      </c>
      <c r="I5" s="17">
        <v>7.59770429078983</v>
      </c>
      <c r="J5" s="17">
        <v>21.1829436038514</v>
      </c>
      <c r="K5" s="17">
        <v>54.7261484</v>
      </c>
      <c r="L5" s="20">
        <f t="shared" si="1"/>
        <v>15885.61064</v>
      </c>
      <c r="M5" s="18"/>
      <c r="N5" s="15">
        <f t="shared" si="2"/>
        <v>137.6670646</v>
      </c>
      <c r="O5" s="20">
        <f t="shared" si="3"/>
        <v>0.87950847</v>
      </c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15.75" customHeight="1">
      <c r="A6" s="16" t="s">
        <v>46</v>
      </c>
      <c r="B6" s="16" t="s">
        <v>43</v>
      </c>
      <c r="C6" s="17">
        <v>71.3980745515404</v>
      </c>
      <c r="D6" s="17">
        <v>71.2890625</v>
      </c>
      <c r="E6" s="17">
        <v>20.4773869346733</v>
      </c>
      <c r="F6" s="17">
        <v>0.203483606557377</v>
      </c>
      <c r="G6" s="17">
        <v>9.36460148946284</v>
      </c>
      <c r="H6" s="17">
        <v>18.7295043567881</v>
      </c>
      <c r="I6" s="17">
        <v>3.66220278764689</v>
      </c>
      <c r="J6" s="17">
        <v>33.997011469229</v>
      </c>
      <c r="K6" s="17">
        <v>17.1819787985865</v>
      </c>
      <c r="L6" s="15">
        <f t="shared" si="1"/>
        <v>10375.62697</v>
      </c>
      <c r="M6" s="18"/>
      <c r="N6" s="15">
        <f t="shared" si="2"/>
        <v>111.8127867</v>
      </c>
      <c r="O6" s="15">
        <f t="shared" si="3"/>
        <v>0.7072761974</v>
      </c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5.75" customHeight="1">
      <c r="A7" s="16" t="s">
        <v>47</v>
      </c>
      <c r="B7" s="16" t="s">
        <v>43</v>
      </c>
      <c r="C7" s="17">
        <v>41.4489569623926</v>
      </c>
      <c r="D7" s="17">
        <v>77.7343749999999</v>
      </c>
      <c r="E7" s="17">
        <v>30.1507537688442</v>
      </c>
      <c r="F7" s="17">
        <v>0.00106557</v>
      </c>
      <c r="G7" s="17">
        <v>10.6322294406591</v>
      </c>
      <c r="H7" s="17">
        <v>48.6367469315094</v>
      </c>
      <c r="I7" s="17">
        <v>11.3418966930855</v>
      </c>
      <c r="J7" s="17">
        <v>43.975933421076</v>
      </c>
      <c r="K7" s="17">
        <v>37.8312720848056</v>
      </c>
      <c r="L7" s="15">
        <f t="shared" si="1"/>
        <v>14513.31312</v>
      </c>
      <c r="M7" s="18"/>
      <c r="N7" s="15">
        <f t="shared" si="2"/>
        <v>121.0042189</v>
      </c>
      <c r="O7" s="15">
        <f t="shared" si="3"/>
        <v>0.9141810561</v>
      </c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5.75" customHeight="1">
      <c r="A8" s="16" t="s">
        <v>48</v>
      </c>
      <c r="B8" s="16" t="s">
        <v>43</v>
      </c>
      <c r="C8" s="17">
        <v>71.3980745515404</v>
      </c>
      <c r="D8" s="17">
        <v>67.3828125</v>
      </c>
      <c r="E8" s="17">
        <v>26.0050251256281</v>
      </c>
      <c r="F8" s="17">
        <v>0.0105942622950819</v>
      </c>
      <c r="G8" s="17">
        <v>9.04769450166376</v>
      </c>
      <c r="H8" s="17">
        <v>35.0604328679846</v>
      </c>
      <c r="I8" s="17">
        <v>14.3755124350915</v>
      </c>
      <c r="J8" s="17">
        <v>63.5933618992014</v>
      </c>
      <c r="K8" s="17">
        <v>21.2676678445229</v>
      </c>
      <c r="L8" s="15">
        <f t="shared" si="1"/>
        <v>13651.92892</v>
      </c>
      <c r="M8" s="18"/>
      <c r="N8" s="15">
        <f t="shared" si="2"/>
        <v>127.7832907</v>
      </c>
      <c r="O8" s="15">
        <f t="shared" si="3"/>
        <v>0.8143031514</v>
      </c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15.75" customHeight="1">
      <c r="A9" s="16" t="s">
        <v>49</v>
      </c>
      <c r="B9" s="16" t="s">
        <v>43</v>
      </c>
      <c r="C9" s="17">
        <v>20.6192938640579</v>
      </c>
      <c r="D9" s="17">
        <v>88.4765625</v>
      </c>
      <c r="E9" s="17">
        <v>43.467336683417</v>
      </c>
      <c r="F9" s="17">
        <v>0.0</v>
      </c>
      <c r="G9" s="17">
        <v>37.7277768974805</v>
      </c>
      <c r="H9" s="17">
        <v>62.934507636091</v>
      </c>
      <c r="I9" s="17">
        <v>39.0543864443837</v>
      </c>
      <c r="J9" s="17">
        <v>32.9935776275815</v>
      </c>
      <c r="K9" s="17">
        <v>7.57508833922261</v>
      </c>
      <c r="L9" s="15">
        <f t="shared" si="1"/>
        <v>13909.65075</v>
      </c>
      <c r="M9" s="18"/>
      <c r="N9" s="15">
        <f t="shared" si="2"/>
        <v>134.8999903</v>
      </c>
      <c r="O9" s="15">
        <f t="shared" si="3"/>
        <v>0.7859057606</v>
      </c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15.75" customHeight="1">
      <c r="A10" s="16" t="s">
        <v>50</v>
      </c>
      <c r="B10" s="16" t="s">
        <v>43</v>
      </c>
      <c r="C10" s="17">
        <v>17.8212794180129</v>
      </c>
      <c r="D10" s="17">
        <v>97.65625</v>
      </c>
      <c r="E10" s="17">
        <v>15.2010050251256</v>
      </c>
      <c r="F10" s="17">
        <v>0.0107581967213114</v>
      </c>
      <c r="G10" s="17">
        <v>9.998415465061</v>
      </c>
      <c r="H10" s="17">
        <v>41.0756113557575</v>
      </c>
      <c r="I10" s="17">
        <v>100.0</v>
      </c>
      <c r="J10" s="17">
        <v>4.19977635498203</v>
      </c>
      <c r="K10" s="17">
        <v>13.86925795053</v>
      </c>
      <c r="L10" s="15">
        <f t="shared" si="1"/>
        <v>10487.76649</v>
      </c>
      <c r="M10" s="18"/>
      <c r="N10" s="15">
        <f t="shared" si="2"/>
        <v>148.6020876</v>
      </c>
      <c r="O10" s="15">
        <f t="shared" si="3"/>
        <v>0.53792814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15.75" customHeight="1">
      <c r="A11" s="16" t="s">
        <v>51</v>
      </c>
      <c r="B11" s="16" t="s">
        <v>43</v>
      </c>
      <c r="C11" s="17">
        <v>6.29760510689451</v>
      </c>
      <c r="D11" s="17">
        <v>77.7343749999999</v>
      </c>
      <c r="E11" s="17">
        <v>50.6281407</v>
      </c>
      <c r="F11" s="17">
        <v>0.0114344262295081</v>
      </c>
      <c r="G11" s="17">
        <v>4.88036761210584</v>
      </c>
      <c r="H11" s="17">
        <v>58.9337580811393</v>
      </c>
      <c r="I11" s="17">
        <v>12.3531019404208</v>
      </c>
      <c r="J11" s="17">
        <v>87.4758789941911</v>
      </c>
      <c r="K11" s="17">
        <v>43.6837455830388</v>
      </c>
      <c r="L11" s="15">
        <f t="shared" si="1"/>
        <v>19084.03537</v>
      </c>
      <c r="M11" s="18"/>
      <c r="N11" s="15">
        <f t="shared" si="2"/>
        <v>147.8357387</v>
      </c>
      <c r="O11" s="15">
        <f t="shared" si="3"/>
        <v>0.9839135512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15.75" customHeight="1">
      <c r="A12" s="16" t="s">
        <v>52</v>
      </c>
      <c r="B12" s="16" t="s">
        <v>43</v>
      </c>
      <c r="C12" s="17">
        <v>81.2429401950319</v>
      </c>
      <c r="D12" s="17">
        <v>21.09375</v>
      </c>
      <c r="E12" s="17">
        <v>18.8442211055276</v>
      </c>
      <c r="F12" s="17">
        <v>100.0</v>
      </c>
      <c r="G12" s="17">
        <v>10.1568689589605</v>
      </c>
      <c r="H12" s="17">
        <v>0.0</v>
      </c>
      <c r="I12" s="17">
        <v>7.54304454769062</v>
      </c>
      <c r="J12" s="17">
        <v>34.0534175135819</v>
      </c>
      <c r="K12" s="17">
        <v>9.34187279151943</v>
      </c>
      <c r="L12" s="15">
        <f t="shared" si="1"/>
        <v>5586.827397</v>
      </c>
      <c r="M12" s="18"/>
      <c r="N12" s="15">
        <f t="shared" si="2"/>
        <v>137.1401897</v>
      </c>
      <c r="O12" s="15">
        <f t="shared" si="3"/>
        <v>0.310503624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15.75" customHeight="1">
      <c r="A13" s="16" t="s">
        <v>53</v>
      </c>
      <c r="B13" s="16" t="s">
        <v>43</v>
      </c>
      <c r="C13" s="17">
        <v>7.49971501704716</v>
      </c>
      <c r="D13" s="17">
        <v>67.1875</v>
      </c>
      <c r="E13" s="17">
        <v>58.2914572864321</v>
      </c>
      <c r="F13" s="17">
        <v>0.0</v>
      </c>
      <c r="G13" s="17">
        <v>67.3585802566946</v>
      </c>
      <c r="H13" s="17">
        <v>78.6002061276117</v>
      </c>
      <c r="I13" s="17">
        <v>11.6151954085815</v>
      </c>
      <c r="J13" s="17">
        <v>14.2677604821232</v>
      </c>
      <c r="K13" s="17">
        <v>6.57022968197879</v>
      </c>
      <c r="L13" s="15">
        <f t="shared" si="1"/>
        <v>12406.69973</v>
      </c>
      <c r="M13" s="18"/>
      <c r="N13" s="15">
        <f t="shared" si="2"/>
        <v>138.0765016</v>
      </c>
      <c r="O13" s="15">
        <f t="shared" si="3"/>
        <v>0.6848613563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5.75" customHeight="1">
      <c r="A14" s="16" t="s">
        <v>54</v>
      </c>
      <c r="B14" s="16" t="s">
        <v>43</v>
      </c>
      <c r="C14" s="17">
        <v>99.7927396706633</v>
      </c>
      <c r="D14" s="17">
        <v>7.6171875</v>
      </c>
      <c r="E14" s="17">
        <v>0.0</v>
      </c>
      <c r="F14" s="17">
        <v>0.0158196721311475</v>
      </c>
      <c r="G14" s="17">
        <v>9.04769450166376</v>
      </c>
      <c r="H14" s="17">
        <v>5.25625409912864</v>
      </c>
      <c r="I14" s="17">
        <v>7.57037441924022</v>
      </c>
      <c r="J14" s="17">
        <v>100.0</v>
      </c>
      <c r="K14" s="17">
        <v>38.9355123674911</v>
      </c>
      <c r="L14" s="15">
        <f t="shared" si="1"/>
        <v>10945.48638</v>
      </c>
      <c r="M14" s="18"/>
      <c r="N14" s="15">
        <f t="shared" si="2"/>
        <v>147.3071158</v>
      </c>
      <c r="O14" s="15">
        <f t="shared" si="3"/>
        <v>0.5663403483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5.75" customHeight="1">
      <c r="A15" s="16" t="s">
        <v>55</v>
      </c>
      <c r="B15" s="16" t="s">
        <v>43</v>
      </c>
      <c r="C15" s="17">
        <v>57.200741991979</v>
      </c>
      <c r="D15" s="17">
        <v>71.09375</v>
      </c>
      <c r="E15" s="17">
        <v>25.251256281407</v>
      </c>
      <c r="F15" s="17">
        <v>0.264344262295081</v>
      </c>
      <c r="G15" s="17">
        <v>4.08810014260814</v>
      </c>
      <c r="H15" s="17">
        <v>13.2671226459289</v>
      </c>
      <c r="I15" s="17">
        <v>35.5015031429352</v>
      </c>
      <c r="J15" s="17">
        <v>49.8391932946077</v>
      </c>
      <c r="K15" s="17">
        <v>9.56272084805653</v>
      </c>
      <c r="L15" s="15">
        <f t="shared" si="1"/>
        <v>10862.97569</v>
      </c>
      <c r="M15" s="18"/>
      <c r="N15" s="15">
        <f t="shared" si="2"/>
        <v>113.9842912</v>
      </c>
      <c r="O15" s="15">
        <f t="shared" si="3"/>
        <v>0.7263901884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5.75" customHeight="1">
      <c r="A16" s="16" t="s">
        <v>56</v>
      </c>
      <c r="B16" s="16" t="s">
        <v>57</v>
      </c>
      <c r="C16" s="17">
        <v>78.3412955843186</v>
      </c>
      <c r="D16" s="17">
        <v>93.5546875</v>
      </c>
      <c r="E16" s="17">
        <v>25.251256281407</v>
      </c>
      <c r="F16" s="17">
        <v>0.0014918</v>
      </c>
      <c r="G16" s="17">
        <v>7.93852004436697</v>
      </c>
      <c r="H16" s="17">
        <v>79.9962522252412</v>
      </c>
      <c r="I16" s="17">
        <v>7.67969390543864</v>
      </c>
      <c r="J16" s="17">
        <v>63.6111743342602</v>
      </c>
      <c r="K16" s="17">
        <v>14.8630742049469</v>
      </c>
      <c r="L16" s="15">
        <f t="shared" si="1"/>
        <v>17649.96624</v>
      </c>
      <c r="M16" s="18"/>
      <c r="N16" s="15">
        <f t="shared" si="2"/>
        <v>162.2225469</v>
      </c>
      <c r="O16" s="15">
        <f t="shared" si="3"/>
        <v>0.8292754874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75" customHeight="1">
      <c r="A17" s="16" t="s">
        <v>58</v>
      </c>
      <c r="B17" s="16" t="s">
        <v>57</v>
      </c>
      <c r="C17" s="17">
        <v>55.5426593572857</v>
      </c>
      <c r="D17" s="17">
        <v>61.5234375</v>
      </c>
      <c r="E17" s="17">
        <v>53.3919597989949</v>
      </c>
      <c r="F17" s="17">
        <v>0.07069672</v>
      </c>
      <c r="G17" s="17">
        <v>30.4389161781017</v>
      </c>
      <c r="H17" s="17">
        <v>64.5741590930385</v>
      </c>
      <c r="I17" s="17">
        <v>5.00136649</v>
      </c>
      <c r="J17" s="17">
        <v>53.8638140381779</v>
      </c>
      <c r="K17" s="17">
        <v>56.7137809187279</v>
      </c>
      <c r="L17" s="15">
        <f t="shared" si="1"/>
        <v>17013.16874</v>
      </c>
      <c r="M17" s="18"/>
      <c r="N17" s="15">
        <f t="shared" si="2"/>
        <v>144.7755278</v>
      </c>
      <c r="O17" s="15">
        <f t="shared" si="3"/>
        <v>0.8956868898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5.75" customHeight="1">
      <c r="A18" s="16" t="s">
        <v>59</v>
      </c>
      <c r="B18" s="16" t="s">
        <v>57</v>
      </c>
      <c r="C18" s="17">
        <v>48.2885478305025</v>
      </c>
      <c r="D18" s="17">
        <v>75.78125</v>
      </c>
      <c r="E18" s="17">
        <v>63.5678392</v>
      </c>
      <c r="F18" s="17">
        <v>0.471311475409836</v>
      </c>
      <c r="G18" s="17">
        <v>8.09697354</v>
      </c>
      <c r="H18" s="17">
        <v>65.3518223554764</v>
      </c>
      <c r="I18" s="17">
        <v>4.70073790653184</v>
      </c>
      <c r="J18" s="17">
        <v>71.566405747479</v>
      </c>
      <c r="K18" s="17">
        <v>73.8295053003533</v>
      </c>
      <c r="L18" s="15">
        <f t="shared" si="1"/>
        <v>20520.85842</v>
      </c>
      <c r="M18" s="18"/>
      <c r="N18" s="15">
        <f t="shared" si="2"/>
        <v>164.4589277</v>
      </c>
      <c r="O18" s="15">
        <f t="shared" si="3"/>
        <v>0.9510519375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5.75" customHeight="1">
      <c r="A19" s="16" t="s">
        <v>60</v>
      </c>
      <c r="B19" s="16" t="s">
        <v>57</v>
      </c>
      <c r="C19" s="17">
        <v>80.5175290423536</v>
      </c>
      <c r="D19" s="17">
        <v>0.0</v>
      </c>
      <c r="E19" s="17">
        <v>28.1407035175879</v>
      </c>
      <c r="F19" s="17">
        <v>0.01151639</v>
      </c>
      <c r="G19" s="17">
        <v>8.25542703</v>
      </c>
      <c r="H19" s="17">
        <v>66.0920079</v>
      </c>
      <c r="I19" s="17">
        <v>1.25717409128177</v>
      </c>
      <c r="J19" s="17">
        <v>0.0</v>
      </c>
      <c r="K19" s="17">
        <v>12.6545936395759</v>
      </c>
      <c r="L19" s="15">
        <f t="shared" si="1"/>
        <v>6025.132778</v>
      </c>
      <c r="M19" s="18"/>
      <c r="N19" s="15">
        <f t="shared" si="2"/>
        <v>108.9632811</v>
      </c>
      <c r="O19" s="15">
        <f t="shared" si="3"/>
        <v>0.4214563629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15.75" customHeight="1">
      <c r="A20" s="16" t="s">
        <v>61</v>
      </c>
      <c r="B20" s="16" t="s">
        <v>57</v>
      </c>
      <c r="C20" s="17">
        <v>83.4191736530669</v>
      </c>
      <c r="D20" s="17">
        <v>30.859375</v>
      </c>
      <c r="E20" s="17">
        <v>13.4422110552763</v>
      </c>
      <c r="F20" s="17">
        <v>0.0</v>
      </c>
      <c r="G20" s="17">
        <v>2.69370939629218</v>
      </c>
      <c r="H20" s="17">
        <v>45.4417689496861</v>
      </c>
      <c r="I20" s="17">
        <v>2.48701831101393</v>
      </c>
      <c r="J20" s="17">
        <v>53.6926167456681</v>
      </c>
      <c r="K20" s="17">
        <v>8.12720848056537</v>
      </c>
      <c r="L20" s="15">
        <f t="shared" si="1"/>
        <v>10071.36469</v>
      </c>
      <c r="M20" s="18"/>
      <c r="N20" s="15">
        <f t="shared" si="2"/>
        <v>114.5386262</v>
      </c>
      <c r="O20" s="15">
        <f t="shared" si="3"/>
        <v>0.6701970582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A21" s="16" t="s">
        <v>62</v>
      </c>
      <c r="B21" s="16" t="s">
        <v>57</v>
      </c>
      <c r="C21" s="17">
        <v>71.0871840575354</v>
      </c>
      <c r="D21" s="17">
        <v>49.8046875</v>
      </c>
      <c r="E21" s="17">
        <v>32.286432160804</v>
      </c>
      <c r="F21" s="19">
        <v>4.77459016393442E-4</v>
      </c>
      <c r="G21" s="17">
        <v>0.23768024084931</v>
      </c>
      <c r="H21" s="17">
        <v>50.9978450295137</v>
      </c>
      <c r="I21" s="17">
        <v>2.54167805411314</v>
      </c>
      <c r="J21" s="17">
        <v>34.1454484</v>
      </c>
      <c r="K21" s="17">
        <v>37.7208480565371</v>
      </c>
      <c r="L21" s="20">
        <f t="shared" si="1"/>
        <v>12363.77755</v>
      </c>
      <c r="M21" s="18"/>
      <c r="N21" s="15">
        <f t="shared" si="2"/>
        <v>117.3557803</v>
      </c>
      <c r="O21" s="20">
        <f t="shared" si="3"/>
        <v>0.8029950387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15.75" customHeight="1">
      <c r="A22" s="16" t="s">
        <v>63</v>
      </c>
      <c r="B22" s="16" t="s">
        <v>57</v>
      </c>
      <c r="C22" s="17">
        <v>93.1604091318901</v>
      </c>
      <c r="D22" s="17">
        <v>58.203125</v>
      </c>
      <c r="E22" s="17">
        <v>41.7085427135678</v>
      </c>
      <c r="F22" s="17">
        <v>0.00553279</v>
      </c>
      <c r="G22" s="17">
        <v>5.24481065</v>
      </c>
      <c r="H22" s="17">
        <v>44.139417221025</v>
      </c>
      <c r="I22" s="17">
        <v>0.90188576</v>
      </c>
      <c r="J22" s="17">
        <v>19.12263861538</v>
      </c>
      <c r="K22" s="17">
        <v>41.6961130742049</v>
      </c>
      <c r="L22" s="15">
        <f t="shared" si="1"/>
        <v>12099.14318</v>
      </c>
      <c r="M22" s="18"/>
      <c r="N22" s="15">
        <f t="shared" si="2"/>
        <v>133.7419863</v>
      </c>
      <c r="O22" s="15">
        <f t="shared" si="3"/>
        <v>0.6895297556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A23" s="16" t="s">
        <v>64</v>
      </c>
      <c r="B23" s="16" t="s">
        <v>57</v>
      </c>
      <c r="C23" s="17">
        <v>55.646289521954</v>
      </c>
      <c r="D23" s="17">
        <v>45.703125</v>
      </c>
      <c r="E23" s="17">
        <v>58.6683417085427</v>
      </c>
      <c r="F23" s="17">
        <v>0.0149180327868852</v>
      </c>
      <c r="G23" s="17">
        <v>5.4824908889241</v>
      </c>
      <c r="H23" s="17">
        <v>58.7651082169961</v>
      </c>
      <c r="I23" s="17">
        <v>2.45968843946433</v>
      </c>
      <c r="J23" s="17">
        <v>14.1856253649075</v>
      </c>
      <c r="K23" s="17">
        <v>40.3710247349823</v>
      </c>
      <c r="L23" s="15">
        <f t="shared" si="1"/>
        <v>12015.52227</v>
      </c>
      <c r="M23" s="18"/>
      <c r="N23" s="15">
        <f t="shared" si="2"/>
        <v>118.1006225</v>
      </c>
      <c r="O23" s="15">
        <f t="shared" si="3"/>
        <v>0.7754550544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5.75" customHeight="1">
      <c r="A24" s="16" t="s">
        <v>65</v>
      </c>
      <c r="B24" s="16" t="s">
        <v>57</v>
      </c>
      <c r="C24" s="17">
        <v>32.4331326362477</v>
      </c>
      <c r="D24" s="17">
        <v>42.3828125</v>
      </c>
      <c r="E24" s="17">
        <v>40.2010050251256</v>
      </c>
      <c r="F24" s="17">
        <v>0.00971311</v>
      </c>
      <c r="G24" s="17">
        <v>17.921090160038</v>
      </c>
      <c r="H24" s="17">
        <v>52.8155157875011</v>
      </c>
      <c r="I24" s="17">
        <v>2.37769882481552</v>
      </c>
      <c r="J24" s="17">
        <v>59.6558241714743</v>
      </c>
      <c r="K24" s="17">
        <v>41.3648409893992</v>
      </c>
      <c r="L24" s="15">
        <f t="shared" si="1"/>
        <v>14062.24042</v>
      </c>
      <c r="M24" s="18"/>
      <c r="N24" s="15">
        <f t="shared" si="2"/>
        <v>113.360032</v>
      </c>
      <c r="O24" s="15">
        <f t="shared" si="3"/>
        <v>0.9454982386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A25" s="16" t="s">
        <v>66</v>
      </c>
      <c r="B25" s="16" t="s">
        <v>57</v>
      </c>
      <c r="C25" s="17">
        <v>91.1914360031918</v>
      </c>
      <c r="D25" s="17">
        <v>50.9765625</v>
      </c>
      <c r="E25" s="17">
        <v>19.3467336683417</v>
      </c>
      <c r="F25" s="17">
        <v>0.0</v>
      </c>
      <c r="G25" s="17">
        <v>7.62161305656789</v>
      </c>
      <c r="H25" s="17">
        <v>47.1751147756019</v>
      </c>
      <c r="I25" s="17">
        <v>2.65099754031155</v>
      </c>
      <c r="J25" s="17">
        <v>43.7819757948799</v>
      </c>
      <c r="K25" s="17">
        <v>46.6651943462897</v>
      </c>
      <c r="L25" s="15">
        <f t="shared" si="1"/>
        <v>13108.61749</v>
      </c>
      <c r="M25" s="18"/>
      <c r="N25" s="15">
        <f t="shared" si="2"/>
        <v>132.9431985</v>
      </c>
      <c r="O25" s="15">
        <f t="shared" si="3"/>
        <v>0.7515483622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16" t="s">
        <v>67</v>
      </c>
      <c r="B26" s="16" t="s">
        <v>57</v>
      </c>
      <c r="C26" s="17">
        <v>86.7353389224535</v>
      </c>
      <c r="D26" s="17">
        <v>69.3359375</v>
      </c>
      <c r="E26" s="17">
        <v>37.1859296482412</v>
      </c>
      <c r="F26" s="17">
        <v>0.0158401639344262</v>
      </c>
      <c r="G26" s="17">
        <v>7.93852004436697</v>
      </c>
      <c r="H26" s="17">
        <v>40.6352478216059</v>
      </c>
      <c r="I26" s="17">
        <v>8.44493031</v>
      </c>
      <c r="J26" s="17">
        <v>7.74939883031676</v>
      </c>
      <c r="K26" s="17">
        <v>45.5609540636042</v>
      </c>
      <c r="L26" s="15">
        <f t="shared" si="1"/>
        <v>11802.33177</v>
      </c>
      <c r="M26" s="18"/>
      <c r="N26" s="15">
        <f t="shared" si="2"/>
        <v>132.7957036</v>
      </c>
      <c r="O26" s="15">
        <f t="shared" si="3"/>
        <v>0.6774074356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16" t="s">
        <v>68</v>
      </c>
      <c r="B27" s="16" t="s">
        <v>57</v>
      </c>
      <c r="C27" s="17">
        <v>67.7710187881488</v>
      </c>
      <c r="D27" s="17">
        <v>57.421875</v>
      </c>
      <c r="E27" s="17">
        <v>68.21608040201</v>
      </c>
      <c r="F27" s="17">
        <v>0.00344262</v>
      </c>
      <c r="G27" s="17">
        <v>8.88924100776422</v>
      </c>
      <c r="H27" s="17">
        <v>60.7607982760236</v>
      </c>
      <c r="I27" s="17">
        <v>6.28587045640885</v>
      </c>
      <c r="J27" s="17">
        <v>65.6229899161825</v>
      </c>
      <c r="K27" s="17">
        <v>51.7446996466431</v>
      </c>
      <c r="L27" s="15">
        <f t="shared" si="1"/>
        <v>17705.34189</v>
      </c>
      <c r="M27" s="18"/>
      <c r="N27" s="15">
        <f t="shared" si="2"/>
        <v>152.7675112</v>
      </c>
      <c r="O27" s="15">
        <f t="shared" si="3"/>
        <v>0.8833635579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16" t="s">
        <v>69</v>
      </c>
      <c r="B28" s="16" t="s">
        <v>57</v>
      </c>
      <c r="C28" s="17">
        <v>75.646911302942</v>
      </c>
      <c r="D28" s="17">
        <v>10.9374999999999</v>
      </c>
      <c r="E28" s="17">
        <v>13.9447236180904</v>
      </c>
      <c r="F28" s="17">
        <v>0.08237705</v>
      </c>
      <c r="G28" s="17">
        <v>4.42085248</v>
      </c>
      <c r="H28" s="17">
        <v>16.771292045348</v>
      </c>
      <c r="I28" s="17">
        <v>1.09319486198414</v>
      </c>
      <c r="J28" s="17">
        <v>18.4230057494581</v>
      </c>
      <c r="K28" s="17">
        <v>8.34805653710247</v>
      </c>
      <c r="L28" s="15">
        <f t="shared" si="1"/>
        <v>4485.809362</v>
      </c>
      <c r="M28" s="18"/>
      <c r="N28" s="15">
        <f t="shared" si="2"/>
        <v>82.1441333</v>
      </c>
      <c r="O28" s="15">
        <f t="shared" si="3"/>
        <v>0.41622717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customHeight="1">
      <c r="A29" s="16" t="s">
        <v>70</v>
      </c>
      <c r="B29" s="16" t="s">
        <v>57</v>
      </c>
      <c r="C29" s="17">
        <v>62.0713597313906</v>
      </c>
      <c r="D29" s="17">
        <v>57.6171875</v>
      </c>
      <c r="E29" s="17">
        <v>27.7638190954773</v>
      </c>
      <c r="F29" s="19">
        <v>0.0</v>
      </c>
      <c r="G29" s="17">
        <v>6.29060370781175</v>
      </c>
      <c r="H29" s="17">
        <v>62.9532465098847</v>
      </c>
      <c r="I29" s="17">
        <v>0.327958458595244</v>
      </c>
      <c r="J29" s="17">
        <v>20.1250829</v>
      </c>
      <c r="K29" s="17">
        <v>51.3030035335689</v>
      </c>
      <c r="L29" s="20">
        <f t="shared" si="1"/>
        <v>13061.14282</v>
      </c>
      <c r="M29" s="18"/>
      <c r="N29" s="15">
        <f t="shared" si="2"/>
        <v>122.40601</v>
      </c>
      <c r="O29" s="20">
        <f t="shared" si="3"/>
        <v>0.8132884447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5.75" customHeight="1">
      <c r="A30" s="16" t="s">
        <v>71</v>
      </c>
      <c r="B30" s="16" t="s">
        <v>57</v>
      </c>
      <c r="C30" s="17">
        <v>95.0257521</v>
      </c>
      <c r="D30" s="17">
        <v>68.1640625</v>
      </c>
      <c r="E30" s="17">
        <v>14.572864321608</v>
      </c>
      <c r="F30" s="17">
        <v>0.00354508</v>
      </c>
      <c r="G30" s="17">
        <v>5.37157344319442</v>
      </c>
      <c r="H30" s="17">
        <v>24.1169305724725</v>
      </c>
      <c r="I30" s="17">
        <v>18.4476632959825</v>
      </c>
      <c r="J30" s="17">
        <v>73.66629392497</v>
      </c>
      <c r="K30" s="17">
        <v>33.303886925795</v>
      </c>
      <c r="L30" s="15">
        <f t="shared" si="1"/>
        <v>14233.30131</v>
      </c>
      <c r="M30" s="18"/>
      <c r="N30" s="15">
        <f t="shared" si="2"/>
        <v>146.202837</v>
      </c>
      <c r="O30" s="15">
        <f t="shared" si="3"/>
        <v>0.7420206783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5.75" customHeight="1">
      <c r="A31" s="16" t="s">
        <v>72</v>
      </c>
      <c r="B31" s="16" t="s">
        <v>57</v>
      </c>
      <c r="C31" s="17">
        <v>100.0</v>
      </c>
      <c r="D31" s="17">
        <v>71.09375</v>
      </c>
      <c r="E31" s="17">
        <v>3.14070351758793</v>
      </c>
      <c r="F31" s="19">
        <v>7.90983606557377E-4</v>
      </c>
      <c r="G31" s="17">
        <v>11.8998573918554</v>
      </c>
      <c r="H31" s="17">
        <v>3.88831631218964</v>
      </c>
      <c r="I31" s="17">
        <v>4.75539764963104</v>
      </c>
      <c r="J31" s="17">
        <v>42.7666669965265</v>
      </c>
      <c r="K31" s="17">
        <v>43.2420494699646</v>
      </c>
      <c r="L31" s="20">
        <f t="shared" si="1"/>
        <v>11165.03083</v>
      </c>
      <c r="M31" s="18"/>
      <c r="N31" s="15">
        <f t="shared" si="2"/>
        <v>137.6313459</v>
      </c>
      <c r="O31" s="20">
        <f t="shared" si="3"/>
        <v>0.6183135086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5.75" customHeight="1">
      <c r="A32" s="16" t="s">
        <v>73</v>
      </c>
      <c r="B32" s="17">
        <v>1989.0</v>
      </c>
      <c r="C32" s="17">
        <v>3.83120718778822</v>
      </c>
      <c r="D32" s="17">
        <v>96.6796875</v>
      </c>
      <c r="E32" s="17">
        <v>60.0502512562814</v>
      </c>
      <c r="F32" s="19">
        <v>3.60655737704918E-4</v>
      </c>
      <c r="G32" s="17">
        <v>38.9954048486769</v>
      </c>
      <c r="H32" s="17">
        <v>100.0</v>
      </c>
      <c r="I32" s="17">
        <v>2.2683793386171</v>
      </c>
      <c r="J32" s="17">
        <v>40.9903713892709</v>
      </c>
      <c r="K32" s="17">
        <v>63.7809187279151</v>
      </c>
      <c r="L32" s="20">
        <f t="shared" si="1"/>
        <v>20686.76622</v>
      </c>
      <c r="M32" s="18"/>
      <c r="N32" s="15">
        <f t="shared" si="2"/>
        <v>173.9013401</v>
      </c>
      <c r="O32" s="20">
        <f t="shared" si="3"/>
        <v>0.9066837722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5.75" customHeight="1">
      <c r="A33" s="16" t="s">
        <v>74</v>
      </c>
      <c r="B33" s="17">
        <v>1989.0</v>
      </c>
      <c r="C33" s="17">
        <v>8.70182493</v>
      </c>
      <c r="D33" s="17">
        <v>88.8671875</v>
      </c>
      <c r="E33" s="17">
        <v>65.5778894472361</v>
      </c>
      <c r="F33" s="19">
        <v>3.36065573770491E-4</v>
      </c>
      <c r="G33" s="17">
        <v>11.4244969101568</v>
      </c>
      <c r="H33" s="17">
        <v>94.2471657453387</v>
      </c>
      <c r="I33" s="17">
        <v>11.0139382344902</v>
      </c>
      <c r="J33" s="17">
        <v>20.1913847189098</v>
      </c>
      <c r="K33" s="17">
        <v>60.2473498233215</v>
      </c>
      <c r="L33" s="20">
        <f t="shared" si="1"/>
        <v>18341.43989</v>
      </c>
      <c r="M33" s="18"/>
      <c r="N33" s="15">
        <f t="shared" si="2"/>
        <v>159.5159796</v>
      </c>
      <c r="O33" s="20">
        <f t="shared" si="3"/>
        <v>0.8763859302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15.75" customHeight="1">
      <c r="A34" s="16" t="s">
        <v>75</v>
      </c>
      <c r="B34" s="17">
        <v>1989.0</v>
      </c>
      <c r="C34" s="17">
        <v>0.155445247002497</v>
      </c>
      <c r="D34" s="17">
        <v>58.59375</v>
      </c>
      <c r="E34" s="17">
        <v>79.145728643216</v>
      </c>
      <c r="F34" s="17">
        <v>0.327868852459016</v>
      </c>
      <c r="G34" s="17">
        <v>9.36460148946284</v>
      </c>
      <c r="H34" s="17">
        <v>92.8323808</v>
      </c>
      <c r="I34" s="17">
        <v>3.88084176004372</v>
      </c>
      <c r="J34" s="17">
        <v>19.2146695298506</v>
      </c>
      <c r="K34" s="17">
        <v>46.2234982332155</v>
      </c>
      <c r="L34" s="15">
        <f t="shared" si="1"/>
        <v>15844.69938</v>
      </c>
      <c r="M34" s="18"/>
      <c r="N34" s="15">
        <f t="shared" si="2"/>
        <v>144.650712</v>
      </c>
      <c r="O34" s="15">
        <f t="shared" si="3"/>
        <v>0.8348906413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5.75" customHeight="1">
      <c r="A35" s="16" t="s">
        <v>76</v>
      </c>
      <c r="B35" s="17">
        <v>1989.0</v>
      </c>
      <c r="C35" s="17">
        <v>0.0</v>
      </c>
      <c r="D35" s="17">
        <v>49.609375</v>
      </c>
      <c r="E35" s="17">
        <v>86.180904522613</v>
      </c>
      <c r="F35" s="17">
        <v>0.00239754</v>
      </c>
      <c r="G35" s="17">
        <v>44.2243701473617</v>
      </c>
      <c r="H35" s="17">
        <v>80.0337299728286</v>
      </c>
      <c r="I35" s="17">
        <v>3.60754304454769</v>
      </c>
      <c r="J35" s="17">
        <v>16.2182221210651</v>
      </c>
      <c r="K35" s="17">
        <v>33.7455830388692</v>
      </c>
      <c r="L35" s="15">
        <f t="shared" si="1"/>
        <v>13854.04462</v>
      </c>
      <c r="M35" s="18"/>
      <c r="N35" s="15">
        <f t="shared" si="2"/>
        <v>140.2292434</v>
      </c>
      <c r="O35" s="15">
        <f t="shared" si="3"/>
        <v>0.7530159164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5.75" customHeight="1">
      <c r="A36" s="16" t="s">
        <v>77</v>
      </c>
      <c r="B36" s="17">
        <v>1989.0</v>
      </c>
      <c r="C36" s="17">
        <v>0.09637605</v>
      </c>
      <c r="D36" s="17">
        <v>59.375</v>
      </c>
      <c r="E36" s="17">
        <v>72.8643216</v>
      </c>
      <c r="F36" s="17">
        <v>0.00936475</v>
      </c>
      <c r="G36" s="17">
        <v>7.46315956266835</v>
      </c>
      <c r="H36" s="17">
        <v>90.9022767731659</v>
      </c>
      <c r="I36" s="17">
        <v>2.65099754031155</v>
      </c>
      <c r="J36" s="17">
        <v>21.1443499945573</v>
      </c>
      <c r="K36" s="17">
        <v>47.8798586572438</v>
      </c>
      <c r="L36" s="15">
        <f t="shared" si="1"/>
        <v>15801.4513</v>
      </c>
      <c r="M36" s="18"/>
      <c r="N36" s="15">
        <f t="shared" si="2"/>
        <v>141.0678001</v>
      </c>
      <c r="O36" s="15">
        <f t="shared" si="3"/>
        <v>0.8537589082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5.75" customHeight="1">
      <c r="A37" s="16" t="s">
        <v>78</v>
      </c>
      <c r="B37" s="17">
        <v>1989.0</v>
      </c>
      <c r="C37" s="17">
        <v>5.70691316828502</v>
      </c>
      <c r="D37" s="17">
        <v>68.1640625</v>
      </c>
      <c r="E37" s="17">
        <v>79.0201005025125</v>
      </c>
      <c r="F37" s="17">
        <v>0.0</v>
      </c>
      <c r="G37" s="17">
        <v>14.2766598003485</v>
      </c>
      <c r="H37" s="17">
        <v>94.3127518</v>
      </c>
      <c r="I37" s="17">
        <v>38.5077890133916</v>
      </c>
      <c r="J37" s="17">
        <v>83.5333933678366</v>
      </c>
      <c r="K37" s="17">
        <v>100.0</v>
      </c>
      <c r="L37" s="15">
        <f t="shared" si="1"/>
        <v>24238.10924</v>
      </c>
      <c r="M37" s="18"/>
      <c r="N37" s="15">
        <f t="shared" si="2"/>
        <v>196.1695194</v>
      </c>
      <c r="O37" s="15">
        <f t="shared" si="3"/>
        <v>0.9417451132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5.75" customHeight="1">
      <c r="A38" s="16" t="s">
        <v>79</v>
      </c>
      <c r="B38" s="17">
        <v>1989.0</v>
      </c>
      <c r="C38" s="17">
        <v>1.55134356508492</v>
      </c>
      <c r="D38" s="17">
        <v>68.359375</v>
      </c>
      <c r="E38" s="17">
        <v>93.21608040201</v>
      </c>
      <c r="F38" s="17">
        <v>0.0203073770491803</v>
      </c>
      <c r="G38" s="17">
        <v>8.09697354</v>
      </c>
      <c r="H38" s="17">
        <v>89.16893094725</v>
      </c>
      <c r="I38" s="17">
        <v>7.43372506</v>
      </c>
      <c r="J38" s="17">
        <v>41.9759927958595</v>
      </c>
      <c r="K38" s="17">
        <v>51.3030035335689</v>
      </c>
      <c r="L38" s="15">
        <f t="shared" si="1"/>
        <v>18709.99306</v>
      </c>
      <c r="M38" s="18"/>
      <c r="N38" s="15">
        <f t="shared" si="2"/>
        <v>160.7188555</v>
      </c>
      <c r="O38" s="15">
        <f t="shared" si="3"/>
        <v>0.8873050645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15.75" customHeight="1">
      <c r="A39" s="16" t="s">
        <v>80</v>
      </c>
      <c r="B39" s="17">
        <v>1989.0</v>
      </c>
      <c r="C39" s="17">
        <v>8.9194482730033</v>
      </c>
      <c r="D39" s="17">
        <v>68.75</v>
      </c>
      <c r="E39" s="17">
        <v>81.1557788944723</v>
      </c>
      <c r="F39" s="17">
        <v>0.00134016</v>
      </c>
      <c r="G39" s="17">
        <v>14.2766598003485</v>
      </c>
      <c r="H39" s="17">
        <v>87.7541459758268</v>
      </c>
      <c r="I39" s="17">
        <v>42.8805684613282</v>
      </c>
      <c r="J39" s="17">
        <v>93.5588255667817</v>
      </c>
      <c r="K39" s="17">
        <v>28.4452297</v>
      </c>
      <c r="L39" s="15">
        <f t="shared" si="1"/>
        <v>20843.55104</v>
      </c>
      <c r="M39" s="18"/>
      <c r="N39" s="15">
        <f t="shared" si="2"/>
        <v>175.2087919</v>
      </c>
      <c r="O39" s="15">
        <f t="shared" si="3"/>
        <v>0.906738341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5.75" customHeight="1">
      <c r="A40" s="16" t="s">
        <v>81</v>
      </c>
      <c r="B40" s="17">
        <v>1989.0</v>
      </c>
      <c r="C40" s="17">
        <v>7.16809849</v>
      </c>
      <c r="D40" s="17">
        <v>50.0</v>
      </c>
      <c r="E40" s="17">
        <v>64.0703517587939</v>
      </c>
      <c r="F40" s="17">
        <v>1.21516393442622</v>
      </c>
      <c r="G40" s="17">
        <v>7.62161305656789</v>
      </c>
      <c r="H40" s="17">
        <v>75.573878</v>
      </c>
      <c r="I40" s="17">
        <v>13.8289150040994</v>
      </c>
      <c r="J40" s="17">
        <v>63.7823716267701</v>
      </c>
      <c r="K40" s="17">
        <v>47.9902826855123</v>
      </c>
      <c r="L40" s="15">
        <f t="shared" si="1"/>
        <v>17185.96865</v>
      </c>
      <c r="M40" s="18"/>
      <c r="N40" s="15">
        <f t="shared" si="2"/>
        <v>137.8037202</v>
      </c>
      <c r="O40" s="15">
        <f t="shared" si="3"/>
        <v>0.9505593498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5.75" customHeight="1">
      <c r="A41" s="16" t="s">
        <v>82</v>
      </c>
      <c r="B41" s="17">
        <v>1989.0</v>
      </c>
      <c r="C41" s="17">
        <v>0.370995989512627</v>
      </c>
      <c r="D41" s="17">
        <v>91.015625</v>
      </c>
      <c r="E41" s="17">
        <v>63.3165829145728</v>
      </c>
      <c r="F41" s="17">
        <v>0.977459016393442</v>
      </c>
      <c r="G41" s="17">
        <v>5.32403739502455</v>
      </c>
      <c r="H41" s="17">
        <v>87.5480183640963</v>
      </c>
      <c r="I41" s="17">
        <v>6.91445750204973</v>
      </c>
      <c r="J41" s="17">
        <v>43.923485695625</v>
      </c>
      <c r="K41" s="17">
        <v>53.732332155477</v>
      </c>
      <c r="L41" s="15">
        <f t="shared" si="1"/>
        <v>19350.91581</v>
      </c>
      <c r="M41" s="18"/>
      <c r="N41" s="15">
        <f t="shared" si="2"/>
        <v>157.6425497</v>
      </c>
      <c r="O41" s="15">
        <f t="shared" si="3"/>
        <v>0.9356086708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5.75" customHeight="1">
      <c r="A42" s="16" t="s">
        <v>83</v>
      </c>
      <c r="B42" s="17">
        <v>1989.0</v>
      </c>
      <c r="C42" s="17">
        <v>65.6984154947822</v>
      </c>
      <c r="D42" s="17">
        <v>34.5703125</v>
      </c>
      <c r="E42" s="17">
        <v>38.0653266331658</v>
      </c>
      <c r="F42" s="17">
        <v>0.0</v>
      </c>
      <c r="G42" s="17">
        <v>6.82934558707019</v>
      </c>
      <c r="H42" s="17">
        <v>62.8876604516068</v>
      </c>
      <c r="I42" s="17">
        <v>2.51434818256354</v>
      </c>
      <c r="J42" s="17">
        <v>67.673399107399</v>
      </c>
      <c r="K42" s="17">
        <v>5.01325088339222</v>
      </c>
      <c r="L42" s="15">
        <f t="shared" si="1"/>
        <v>12903.28181</v>
      </c>
      <c r="M42" s="18"/>
      <c r="N42" s="15">
        <f t="shared" si="2"/>
        <v>124.7918217</v>
      </c>
      <c r="O42" s="15">
        <f t="shared" si="3"/>
        <v>0.7880979951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5.75" customHeight="1">
      <c r="A43" s="16" t="s">
        <v>84</v>
      </c>
      <c r="B43" s="17">
        <v>1989.0</v>
      </c>
      <c r="C43" s="17">
        <v>23.8318289687762</v>
      </c>
      <c r="D43" s="17">
        <v>58.203125</v>
      </c>
      <c r="E43" s="17">
        <v>76.2562814070351</v>
      </c>
      <c r="F43" s="17">
        <v>0.0</v>
      </c>
      <c r="G43" s="17">
        <v>22.5162414831247</v>
      </c>
      <c r="H43" s="17">
        <v>98.2853930478778</v>
      </c>
      <c r="I43" s="17">
        <v>11.4785460508335</v>
      </c>
      <c r="J43" s="17">
        <v>83.4769873234837</v>
      </c>
      <c r="K43" s="17">
        <v>51.8551236749116</v>
      </c>
      <c r="L43" s="15">
        <f t="shared" si="1"/>
        <v>21226.69495</v>
      </c>
      <c r="M43" s="18"/>
      <c r="N43" s="15">
        <f t="shared" si="2"/>
        <v>172.4143213</v>
      </c>
      <c r="O43" s="15">
        <f t="shared" si="3"/>
        <v>0.9383723593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5.75" customHeight="1">
      <c r="A44" s="16" t="s">
        <v>85</v>
      </c>
      <c r="B44" s="17">
        <v>1989.0</v>
      </c>
      <c r="C44" s="17">
        <v>24.8681306154595</v>
      </c>
      <c r="D44" s="17">
        <v>100.0</v>
      </c>
      <c r="E44" s="17">
        <v>28.0150753768844</v>
      </c>
      <c r="F44" s="17">
        <v>0.0</v>
      </c>
      <c r="G44" s="17">
        <v>8.73078751386468</v>
      </c>
      <c r="H44" s="17">
        <v>72.2289890377588</v>
      </c>
      <c r="I44" s="17">
        <v>2.9516261273572</v>
      </c>
      <c r="J44" s="17">
        <v>28.0832830296972</v>
      </c>
      <c r="K44" s="17">
        <v>20.1634275618374</v>
      </c>
      <c r="L44" s="15">
        <f t="shared" si="1"/>
        <v>15029.64144</v>
      </c>
      <c r="M44" s="18"/>
      <c r="N44" s="15">
        <f t="shared" si="2"/>
        <v>133.7926327</v>
      </c>
      <c r="O44" s="15">
        <f t="shared" si="3"/>
        <v>0.8562145132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8"/>
      <c r="M45" s="18"/>
      <c r="N45" s="18"/>
      <c r="O45" s="18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8"/>
      <c r="M46" s="18"/>
      <c r="N46" s="18"/>
      <c r="O46" s="18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8"/>
      <c r="M47" s="18"/>
      <c r="N47" s="18"/>
      <c r="O47" s="18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8"/>
      <c r="M48" s="18"/>
      <c r="N48" s="18"/>
      <c r="O48" s="18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8"/>
      <c r="M49" s="18"/>
      <c r="N49" s="18"/>
      <c r="O49" s="18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8"/>
      <c r="M50" s="18"/>
      <c r="N50" s="18"/>
      <c r="O50" s="18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8"/>
      <c r="M51" s="18"/>
      <c r="N51" s="18"/>
      <c r="O51" s="18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8"/>
      <c r="M52" s="18"/>
      <c r="N52" s="18"/>
      <c r="O52" s="18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8"/>
      <c r="M53" s="18"/>
      <c r="N53" s="18"/>
      <c r="O53" s="18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8"/>
      <c r="M54" s="18"/>
      <c r="N54" s="18"/>
      <c r="O54" s="18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8"/>
      <c r="M55" s="18"/>
      <c r="N55" s="18"/>
      <c r="O55" s="18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8"/>
      <c r="M56" s="18"/>
      <c r="N56" s="18"/>
      <c r="O56" s="18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8"/>
      <c r="M57" s="18"/>
      <c r="N57" s="18"/>
      <c r="O57" s="18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8"/>
      <c r="M58" s="18"/>
      <c r="N58" s="18"/>
      <c r="O58" s="18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8"/>
      <c r="M59" s="18"/>
      <c r="N59" s="18"/>
      <c r="O59" s="18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8"/>
      <c r="M60" s="18"/>
      <c r="N60" s="18"/>
      <c r="O60" s="18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8"/>
      <c r="M61" s="18"/>
      <c r="N61" s="18"/>
      <c r="O61" s="18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8"/>
      <c r="M62" s="18"/>
      <c r="N62" s="18"/>
      <c r="O62" s="18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8"/>
      <c r="M63" s="18"/>
      <c r="N63" s="18"/>
      <c r="O63" s="18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8"/>
      <c r="M64" s="18"/>
      <c r="N64" s="18"/>
      <c r="O64" s="18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8"/>
      <c r="M65" s="18"/>
      <c r="N65" s="18"/>
      <c r="O65" s="18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8"/>
      <c r="M66" s="18"/>
      <c r="N66" s="18"/>
      <c r="O66" s="18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8"/>
      <c r="M67" s="18"/>
      <c r="N67" s="18"/>
      <c r="O67" s="18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8"/>
      <c r="M68" s="18"/>
      <c r="N68" s="18"/>
      <c r="O68" s="18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8"/>
      <c r="M69" s="18"/>
      <c r="N69" s="18"/>
      <c r="O69" s="18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8"/>
      <c r="M70" s="18"/>
      <c r="N70" s="18"/>
      <c r="O70" s="18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8"/>
      <c r="M71" s="18"/>
      <c r="N71" s="18"/>
      <c r="O71" s="18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8"/>
      <c r="M72" s="18"/>
      <c r="N72" s="18"/>
      <c r="O72" s="18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8"/>
      <c r="M73" s="18"/>
      <c r="N73" s="18"/>
      <c r="O73" s="18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8"/>
      <c r="M74" s="18"/>
      <c r="N74" s="18"/>
      <c r="O74" s="18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8"/>
      <c r="M75" s="18"/>
      <c r="N75" s="18"/>
      <c r="O75" s="18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8"/>
      <c r="M76" s="18"/>
      <c r="N76" s="18"/>
      <c r="O76" s="18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8"/>
      <c r="M77" s="18"/>
      <c r="N77" s="18"/>
      <c r="O77" s="18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8"/>
      <c r="M78" s="18"/>
      <c r="N78" s="18"/>
      <c r="O78" s="18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8"/>
      <c r="M79" s="18"/>
      <c r="N79" s="18"/>
      <c r="O79" s="18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8"/>
      <c r="M80" s="18"/>
      <c r="N80" s="18"/>
      <c r="O80" s="18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8"/>
      <c r="M81" s="18"/>
      <c r="N81" s="18"/>
      <c r="O81" s="18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8"/>
      <c r="M82" s="18"/>
      <c r="N82" s="18"/>
      <c r="O82" s="18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8"/>
      <c r="M83" s="18"/>
      <c r="N83" s="18"/>
      <c r="O83" s="18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8"/>
      <c r="M84" s="18"/>
      <c r="N84" s="18"/>
      <c r="O84" s="18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8"/>
      <c r="M85" s="18"/>
      <c r="N85" s="18"/>
      <c r="O85" s="18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8"/>
      <c r="M86" s="18"/>
      <c r="N86" s="18"/>
      <c r="O86" s="18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8"/>
      <c r="M87" s="18"/>
      <c r="N87" s="18"/>
      <c r="O87" s="18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8"/>
      <c r="M88" s="18"/>
      <c r="N88" s="18"/>
      <c r="O88" s="18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8"/>
      <c r="M89" s="18"/>
      <c r="N89" s="18"/>
      <c r="O89" s="18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8"/>
      <c r="M90" s="18"/>
      <c r="N90" s="18"/>
      <c r="O90" s="18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8"/>
      <c r="M91" s="18"/>
      <c r="N91" s="18"/>
      <c r="O91" s="18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8"/>
      <c r="M92" s="18"/>
      <c r="N92" s="18"/>
      <c r="O92" s="18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8"/>
      <c r="M93" s="18"/>
      <c r="N93" s="18"/>
      <c r="O93" s="18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8"/>
      <c r="M94" s="18"/>
      <c r="N94" s="18"/>
      <c r="O94" s="18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8"/>
      <c r="M95" s="18"/>
      <c r="N95" s="18"/>
      <c r="O95" s="18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8"/>
      <c r="M96" s="18"/>
      <c r="N96" s="18"/>
      <c r="O96" s="18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8"/>
      <c r="M97" s="18"/>
      <c r="N97" s="18"/>
      <c r="O97" s="18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8"/>
      <c r="M98" s="18"/>
      <c r="N98" s="18"/>
      <c r="O98" s="18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8"/>
      <c r="M99" s="18"/>
      <c r="N99" s="18"/>
      <c r="O99" s="18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8"/>
      <c r="M100" s="18"/>
      <c r="N100" s="18"/>
      <c r="O100" s="18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8"/>
      <c r="M101" s="18"/>
      <c r="N101" s="18"/>
      <c r="O101" s="18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8"/>
      <c r="M102" s="18"/>
      <c r="N102" s="18"/>
      <c r="O102" s="18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8"/>
      <c r="M103" s="18"/>
      <c r="N103" s="18"/>
      <c r="O103" s="18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8"/>
      <c r="M144" s="18"/>
      <c r="N144" s="18"/>
      <c r="O144" s="18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8"/>
      <c r="M145" s="18"/>
      <c r="N145" s="18"/>
      <c r="O145" s="18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8"/>
      <c r="M146" s="18"/>
      <c r="N146" s="18"/>
      <c r="O146" s="18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8"/>
      <c r="M147" s="18"/>
      <c r="N147" s="18"/>
      <c r="O147" s="18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8"/>
      <c r="M148" s="18"/>
      <c r="N148" s="18"/>
      <c r="O148" s="18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8"/>
      <c r="M149" s="18"/>
      <c r="N149" s="18"/>
      <c r="O149" s="18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8"/>
      <c r="M150" s="18"/>
      <c r="N150" s="18"/>
      <c r="O150" s="18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8"/>
      <c r="M151" s="18"/>
      <c r="N151" s="18"/>
      <c r="O151" s="18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8"/>
      <c r="M152" s="18"/>
      <c r="N152" s="18"/>
      <c r="O152" s="18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8"/>
      <c r="M153" s="18"/>
      <c r="N153" s="18"/>
      <c r="O153" s="18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8"/>
      <c r="M154" s="18"/>
      <c r="N154" s="18"/>
      <c r="O154" s="18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8"/>
      <c r="M155" s="18"/>
      <c r="N155" s="18"/>
      <c r="O155" s="18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8"/>
      <c r="M156" s="18"/>
      <c r="N156" s="18"/>
      <c r="O156" s="18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8"/>
      <c r="M157" s="18"/>
      <c r="N157" s="18"/>
      <c r="O157" s="18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8"/>
      <c r="M158" s="18"/>
      <c r="N158" s="18"/>
      <c r="O158" s="18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8"/>
      <c r="M159" s="18"/>
      <c r="N159" s="18"/>
      <c r="O159" s="18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8"/>
      <c r="M160" s="18"/>
      <c r="N160" s="18"/>
      <c r="O160" s="18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8"/>
      <c r="M161" s="18"/>
      <c r="N161" s="18"/>
      <c r="O161" s="18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8"/>
      <c r="M162" s="18"/>
      <c r="N162" s="18"/>
      <c r="O162" s="18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8"/>
      <c r="M163" s="18"/>
      <c r="N163" s="18"/>
      <c r="O163" s="18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8"/>
      <c r="M164" s="18"/>
      <c r="N164" s="18"/>
      <c r="O164" s="18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8"/>
      <c r="M165" s="18"/>
      <c r="N165" s="18"/>
      <c r="O165" s="18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8"/>
      <c r="M166" s="18"/>
      <c r="N166" s="18"/>
      <c r="O166" s="18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8"/>
      <c r="M167" s="18"/>
      <c r="N167" s="18"/>
      <c r="O167" s="18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8"/>
      <c r="M168" s="18"/>
      <c r="N168" s="18"/>
      <c r="O168" s="18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8"/>
      <c r="M169" s="18"/>
      <c r="N169" s="18"/>
      <c r="O169" s="18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8"/>
      <c r="M170" s="18"/>
      <c r="N170" s="18"/>
      <c r="O170" s="18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8"/>
      <c r="M171" s="18"/>
      <c r="N171" s="18"/>
      <c r="O171" s="18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8"/>
      <c r="M172" s="18"/>
      <c r="N172" s="18"/>
      <c r="O172" s="18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8"/>
      <c r="M173" s="18"/>
      <c r="N173" s="18"/>
      <c r="O173" s="18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8"/>
      <c r="M174" s="18"/>
      <c r="N174" s="18"/>
      <c r="O174" s="18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8"/>
      <c r="M175" s="18"/>
      <c r="N175" s="18"/>
      <c r="O175" s="18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8"/>
      <c r="M176" s="18"/>
      <c r="N176" s="18"/>
      <c r="O176" s="18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8"/>
      <c r="M177" s="18"/>
      <c r="N177" s="18"/>
      <c r="O177" s="18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8"/>
      <c r="M178" s="18"/>
      <c r="N178" s="18"/>
      <c r="O178" s="18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8"/>
      <c r="M179" s="18"/>
      <c r="N179" s="18"/>
      <c r="O179" s="18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8"/>
      <c r="M180" s="18"/>
      <c r="N180" s="18"/>
      <c r="O180" s="18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8"/>
      <c r="M181" s="18"/>
      <c r="N181" s="18"/>
      <c r="O181" s="18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8"/>
      <c r="M182" s="18"/>
      <c r="N182" s="18"/>
      <c r="O182" s="18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8"/>
      <c r="M183" s="18"/>
      <c r="N183" s="18"/>
      <c r="O183" s="18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8"/>
      <c r="M184" s="18"/>
      <c r="N184" s="18"/>
      <c r="O184" s="18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8"/>
      <c r="M185" s="18"/>
      <c r="N185" s="18"/>
      <c r="O185" s="18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8"/>
      <c r="M186" s="18"/>
      <c r="N186" s="18"/>
      <c r="O186" s="18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8"/>
      <c r="M187" s="18"/>
      <c r="N187" s="18"/>
      <c r="O187" s="18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8"/>
      <c r="M188" s="18"/>
      <c r="N188" s="18"/>
      <c r="O188" s="18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8"/>
      <c r="M189" s="18"/>
      <c r="N189" s="18"/>
      <c r="O189" s="18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8"/>
      <c r="M190" s="18"/>
      <c r="N190" s="18"/>
      <c r="O190" s="18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8"/>
      <c r="M191" s="18"/>
      <c r="N191" s="18"/>
      <c r="O191" s="18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8"/>
      <c r="M192" s="18"/>
      <c r="N192" s="18"/>
      <c r="O192" s="18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8"/>
      <c r="M193" s="18"/>
      <c r="N193" s="18"/>
      <c r="O193" s="18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8"/>
      <c r="M194" s="18"/>
      <c r="N194" s="18"/>
      <c r="O194" s="18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8"/>
      <c r="M195" s="18"/>
      <c r="N195" s="18"/>
      <c r="O195" s="18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8"/>
      <c r="M196" s="18"/>
      <c r="N196" s="18"/>
      <c r="O196" s="18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8"/>
      <c r="M197" s="18"/>
      <c r="N197" s="18"/>
      <c r="O197" s="18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8"/>
      <c r="M198" s="18"/>
      <c r="N198" s="18"/>
      <c r="O198" s="18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8"/>
      <c r="M199" s="18"/>
      <c r="N199" s="18"/>
      <c r="O199" s="18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8"/>
      <c r="M200" s="18"/>
      <c r="N200" s="18"/>
      <c r="O200" s="18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8"/>
      <c r="M201" s="18"/>
      <c r="N201" s="18"/>
      <c r="O201" s="18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8"/>
      <c r="M202" s="18"/>
      <c r="N202" s="18"/>
      <c r="O202" s="18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8"/>
      <c r="M203" s="18"/>
      <c r="N203" s="18"/>
      <c r="O203" s="18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8"/>
      <c r="M204" s="18"/>
      <c r="N204" s="18"/>
      <c r="O204" s="18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8"/>
      <c r="M205" s="18"/>
      <c r="N205" s="18"/>
      <c r="O205" s="18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8"/>
      <c r="M206" s="18"/>
      <c r="N206" s="18"/>
      <c r="O206" s="18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8"/>
      <c r="M207" s="18"/>
      <c r="N207" s="18"/>
      <c r="O207" s="18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8"/>
      <c r="M208" s="18"/>
      <c r="N208" s="18"/>
      <c r="O208" s="18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8"/>
      <c r="M209" s="18"/>
      <c r="N209" s="18"/>
      <c r="O209" s="18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8"/>
      <c r="M210" s="18"/>
      <c r="N210" s="18"/>
      <c r="O210" s="18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8"/>
      <c r="M211" s="18"/>
      <c r="N211" s="18"/>
      <c r="O211" s="18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8"/>
      <c r="M212" s="18"/>
      <c r="N212" s="18"/>
      <c r="O212" s="18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8"/>
      <c r="M213" s="18"/>
      <c r="N213" s="18"/>
      <c r="O213" s="18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8"/>
      <c r="M214" s="18"/>
      <c r="N214" s="18"/>
      <c r="O214" s="18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8"/>
      <c r="M215" s="18"/>
      <c r="N215" s="18"/>
      <c r="O215" s="18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8"/>
      <c r="M216" s="18"/>
      <c r="N216" s="18"/>
      <c r="O216" s="18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8"/>
      <c r="M217" s="18"/>
      <c r="N217" s="18"/>
      <c r="O217" s="18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8"/>
      <c r="M218" s="18"/>
      <c r="N218" s="18"/>
      <c r="O218" s="18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8"/>
      <c r="M219" s="18"/>
      <c r="N219" s="18"/>
      <c r="O219" s="18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8"/>
      <c r="M220" s="18"/>
      <c r="N220" s="18"/>
      <c r="O220" s="18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8"/>
      <c r="M221" s="18"/>
      <c r="N221" s="18"/>
      <c r="O221" s="18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8"/>
      <c r="M222" s="18"/>
      <c r="N222" s="18"/>
      <c r="O222" s="18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8"/>
      <c r="M223" s="18"/>
      <c r="N223" s="18"/>
      <c r="O223" s="18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8"/>
      <c r="M224" s="18"/>
      <c r="N224" s="18"/>
      <c r="O224" s="18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8"/>
      <c r="M225" s="18"/>
      <c r="N225" s="18"/>
      <c r="O225" s="18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8"/>
      <c r="M226" s="18"/>
      <c r="N226" s="18"/>
      <c r="O226" s="18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8"/>
      <c r="M227" s="18"/>
      <c r="N227" s="18"/>
      <c r="O227" s="18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8"/>
      <c r="M228" s="18"/>
      <c r="N228" s="18"/>
      <c r="O228" s="18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8"/>
      <c r="M229" s="18"/>
      <c r="N229" s="18"/>
      <c r="O229" s="18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8"/>
      <c r="M230" s="18"/>
      <c r="N230" s="18"/>
      <c r="O230" s="18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8"/>
      <c r="M231" s="18"/>
      <c r="N231" s="18"/>
      <c r="O231" s="18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8"/>
      <c r="M232" s="18"/>
      <c r="N232" s="18"/>
      <c r="O232" s="18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8"/>
      <c r="M233" s="18"/>
      <c r="N233" s="18"/>
      <c r="O233" s="18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8"/>
      <c r="M234" s="18"/>
      <c r="N234" s="18"/>
      <c r="O234" s="18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8"/>
      <c r="M235" s="18"/>
      <c r="N235" s="18"/>
      <c r="O235" s="18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8"/>
      <c r="M236" s="18"/>
      <c r="N236" s="18"/>
      <c r="O236" s="18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8"/>
      <c r="M237" s="18"/>
      <c r="N237" s="18"/>
      <c r="O237" s="18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8"/>
      <c r="M238" s="18"/>
      <c r="N238" s="18"/>
      <c r="O238" s="18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8"/>
      <c r="M239" s="18"/>
      <c r="N239" s="18"/>
      <c r="O239" s="18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8"/>
      <c r="M240" s="18"/>
      <c r="N240" s="18"/>
      <c r="O240" s="18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8"/>
      <c r="M241" s="18"/>
      <c r="N241" s="18"/>
      <c r="O241" s="18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8"/>
      <c r="M242" s="18"/>
      <c r="N242" s="18"/>
      <c r="O242" s="18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8"/>
      <c r="M243" s="18"/>
      <c r="N243" s="18"/>
      <c r="O243" s="18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8"/>
      <c r="M244" s="18"/>
      <c r="N244" s="18"/>
      <c r="O244" s="18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1" t="s">
        <v>11</v>
      </c>
      <c r="M1" s="11" t="s">
        <v>12</v>
      </c>
      <c r="N1" s="11" t="s">
        <v>13</v>
      </c>
      <c r="O1" s="11" t="s">
        <v>14</v>
      </c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5.75" customHeight="1">
      <c r="A2" s="16" t="s">
        <v>52</v>
      </c>
      <c r="B2" s="16" t="s">
        <v>43</v>
      </c>
      <c r="C2" s="17">
        <v>81.2429401950319</v>
      </c>
      <c r="D2" s="17">
        <v>21.09375</v>
      </c>
      <c r="E2" s="17">
        <v>18.8442211055276</v>
      </c>
      <c r="F2" s="17">
        <v>100.0</v>
      </c>
      <c r="G2" s="17">
        <v>10.1568689589605</v>
      </c>
      <c r="H2" s="17">
        <v>0.0</v>
      </c>
      <c r="I2" s="17">
        <v>7.54304454769062</v>
      </c>
      <c r="J2" s="17">
        <v>34.0534175135819</v>
      </c>
      <c r="K2" s="17">
        <v>9.34187279151943</v>
      </c>
      <c r="L2" s="15">
        <f t="shared" ref="L2:L43" si="1">(9.25*C2)+(26.32*D2)+(100*E2)+(17.56*F2)+(8.57*G2)+(95.18*H2)+(7.71*I2)+(49.51*J2)+(64.77*K2)</f>
        <v>7383.36585</v>
      </c>
      <c r="M2" s="18"/>
      <c r="N2" s="15">
        <f t="shared" ref="N2:N43" si="2">sqrt(C2^2+D2^2+E2^2+F2^2+G2^2+H2^2+I2^2+J2^2+K2^2)</f>
        <v>137.1401897</v>
      </c>
      <c r="O2" s="15">
        <f t="shared" ref="O2:O43" si="3">(L2)/(164*N2)</f>
        <v>0.3282810354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6" t="s">
        <v>72</v>
      </c>
      <c r="B3" s="16" t="s">
        <v>57</v>
      </c>
      <c r="C3" s="17">
        <v>100.0</v>
      </c>
      <c r="D3" s="17">
        <v>71.09375</v>
      </c>
      <c r="E3" s="17">
        <v>3.14070351758793</v>
      </c>
      <c r="F3" s="19">
        <v>7.90983606557377E-4</v>
      </c>
      <c r="G3" s="17">
        <v>11.8998573918554</v>
      </c>
      <c r="H3" s="17">
        <v>3.88831631218964</v>
      </c>
      <c r="I3" s="17">
        <v>4.75539764963104</v>
      </c>
      <c r="J3" s="17">
        <v>42.7666669965265</v>
      </c>
      <c r="K3" s="17">
        <v>43.2420494699646</v>
      </c>
      <c r="L3" s="20">
        <f t="shared" si="1"/>
        <v>8537.172809</v>
      </c>
      <c r="M3" s="18"/>
      <c r="N3" s="15">
        <f t="shared" si="2"/>
        <v>137.6313459</v>
      </c>
      <c r="O3" s="20">
        <f t="shared" si="3"/>
        <v>0.3782272957</v>
      </c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5.75" customHeight="1">
      <c r="A4" s="16" t="s">
        <v>54</v>
      </c>
      <c r="B4" s="16" t="s">
        <v>43</v>
      </c>
      <c r="C4" s="17">
        <v>99.7927396706633</v>
      </c>
      <c r="D4" s="17">
        <v>7.6171875</v>
      </c>
      <c r="E4" s="17">
        <v>0.0</v>
      </c>
      <c r="F4" s="17">
        <v>0.0158196721311475</v>
      </c>
      <c r="G4" s="17">
        <v>9.04769450166376</v>
      </c>
      <c r="H4" s="17">
        <v>5.25625409912864</v>
      </c>
      <c r="I4" s="17">
        <v>7.57037441924022</v>
      </c>
      <c r="J4" s="17">
        <v>100.0</v>
      </c>
      <c r="K4" s="17">
        <v>38.9355123674911</v>
      </c>
      <c r="L4" s="15">
        <f t="shared" si="1"/>
        <v>9232.89474</v>
      </c>
      <c r="M4" s="18"/>
      <c r="N4" s="15">
        <f t="shared" si="2"/>
        <v>147.3071158</v>
      </c>
      <c r="O4" s="15">
        <f t="shared" si="3"/>
        <v>0.3821820715</v>
      </c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5.75" customHeight="1">
      <c r="A5" s="16" t="s">
        <v>69</v>
      </c>
      <c r="B5" s="16" t="s">
        <v>57</v>
      </c>
      <c r="C5" s="17">
        <v>75.646911302942</v>
      </c>
      <c r="D5" s="17">
        <v>10.9374999999999</v>
      </c>
      <c r="E5" s="17">
        <v>13.9447236180904</v>
      </c>
      <c r="F5" s="17">
        <v>0.08237705</v>
      </c>
      <c r="G5" s="17">
        <v>4.42085248</v>
      </c>
      <c r="H5" s="17">
        <v>16.771292045348</v>
      </c>
      <c r="I5" s="17">
        <v>1.09319486198414</v>
      </c>
      <c r="J5" s="17">
        <v>18.4230057494581</v>
      </c>
      <c r="K5" s="17">
        <v>8.34805653710247</v>
      </c>
      <c r="L5" s="15">
        <f t="shared" si="1"/>
        <v>5478.961284</v>
      </c>
      <c r="M5" s="18"/>
      <c r="N5" s="15">
        <f t="shared" si="2"/>
        <v>82.1441333</v>
      </c>
      <c r="O5" s="15">
        <f t="shared" si="3"/>
        <v>0.4067034269</v>
      </c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15.75" customHeight="1">
      <c r="A6" s="16" t="s">
        <v>50</v>
      </c>
      <c r="B6" s="16" t="s">
        <v>43</v>
      </c>
      <c r="C6" s="17">
        <v>17.8212794180129</v>
      </c>
      <c r="D6" s="17">
        <v>97.65625</v>
      </c>
      <c r="E6" s="17">
        <v>15.2010050251256</v>
      </c>
      <c r="F6" s="17">
        <v>0.0107581967213114</v>
      </c>
      <c r="G6" s="17">
        <v>9.998415465061</v>
      </c>
      <c r="H6" s="17">
        <v>41.0756113557575</v>
      </c>
      <c r="I6" s="17">
        <v>100.0</v>
      </c>
      <c r="J6" s="17">
        <v>4.19977635498203</v>
      </c>
      <c r="K6" s="17">
        <v>13.86925795053</v>
      </c>
      <c r="L6" s="15">
        <f t="shared" si="1"/>
        <v>10127.95463</v>
      </c>
      <c r="M6" s="18"/>
      <c r="N6" s="15">
        <f t="shared" si="2"/>
        <v>148.6020876</v>
      </c>
      <c r="O6" s="15">
        <f t="shared" si="3"/>
        <v>0.4155784208</v>
      </c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5.75" customHeight="1">
      <c r="A7" s="16" t="s">
        <v>46</v>
      </c>
      <c r="B7" s="16" t="s">
        <v>43</v>
      </c>
      <c r="C7" s="17">
        <v>71.3980745515404</v>
      </c>
      <c r="D7" s="17">
        <v>71.2890625</v>
      </c>
      <c r="E7" s="17">
        <v>20.4773869346733</v>
      </c>
      <c r="F7" s="17">
        <v>0.203483606557377</v>
      </c>
      <c r="G7" s="17">
        <v>9.36460148946284</v>
      </c>
      <c r="H7" s="17">
        <v>18.7295043567881</v>
      </c>
      <c r="I7" s="17">
        <v>3.66220278764689</v>
      </c>
      <c r="J7" s="17">
        <v>33.997011469229</v>
      </c>
      <c r="K7" s="17">
        <v>17.1819787985865</v>
      </c>
      <c r="L7" s="15">
        <f t="shared" si="1"/>
        <v>9275.305428</v>
      </c>
      <c r="M7" s="18"/>
      <c r="N7" s="15">
        <f t="shared" si="2"/>
        <v>111.8127867</v>
      </c>
      <c r="O7" s="15">
        <f t="shared" si="3"/>
        <v>0.5058163926</v>
      </c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5.75" customHeight="1">
      <c r="A8" s="16" t="s">
        <v>55</v>
      </c>
      <c r="B8" s="16" t="s">
        <v>43</v>
      </c>
      <c r="C8" s="17">
        <v>57.200741991979</v>
      </c>
      <c r="D8" s="17">
        <v>71.09375</v>
      </c>
      <c r="E8" s="17">
        <v>25.251256281407</v>
      </c>
      <c r="F8" s="17">
        <v>0.264344262295081</v>
      </c>
      <c r="G8" s="17">
        <v>4.08810014260814</v>
      </c>
      <c r="H8" s="17">
        <v>13.2671226459289</v>
      </c>
      <c r="I8" s="17">
        <v>35.5015031429352</v>
      </c>
      <c r="J8" s="17">
        <v>49.8391932946077</v>
      </c>
      <c r="K8" s="17">
        <v>9.56272084805653</v>
      </c>
      <c r="L8" s="15">
        <f t="shared" si="1"/>
        <v>9588.494107</v>
      </c>
      <c r="M8" s="18"/>
      <c r="N8" s="15">
        <f t="shared" si="2"/>
        <v>113.9842912</v>
      </c>
      <c r="O8" s="15">
        <f t="shared" si="3"/>
        <v>0.5129340794</v>
      </c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15.75" customHeight="1">
      <c r="A9" s="16" t="s">
        <v>71</v>
      </c>
      <c r="B9" s="16" t="s">
        <v>57</v>
      </c>
      <c r="C9" s="17">
        <v>95.0257521</v>
      </c>
      <c r="D9" s="17">
        <v>68.1640625</v>
      </c>
      <c r="E9" s="17">
        <v>14.572864321608</v>
      </c>
      <c r="F9" s="17">
        <v>0.00354508</v>
      </c>
      <c r="G9" s="17">
        <v>5.37157344319442</v>
      </c>
      <c r="H9" s="17">
        <v>24.1169305724725</v>
      </c>
      <c r="I9" s="17">
        <v>18.4476632959825</v>
      </c>
      <c r="J9" s="17">
        <v>73.66629392497</v>
      </c>
      <c r="K9" s="17">
        <v>33.303886925795</v>
      </c>
      <c r="L9" s="15">
        <f t="shared" si="1"/>
        <v>12418.4413</v>
      </c>
      <c r="M9" s="18"/>
      <c r="N9" s="15">
        <f t="shared" si="2"/>
        <v>146.202837</v>
      </c>
      <c r="O9" s="15">
        <f t="shared" si="3"/>
        <v>0.5179256754</v>
      </c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15.75" customHeight="1">
      <c r="A10" s="16" t="s">
        <v>61</v>
      </c>
      <c r="B10" s="16" t="s">
        <v>57</v>
      </c>
      <c r="C10" s="17">
        <v>83.4191736530669</v>
      </c>
      <c r="D10" s="17">
        <v>30.859375</v>
      </c>
      <c r="E10" s="17">
        <v>13.4422110552763</v>
      </c>
      <c r="F10" s="17">
        <v>0.0</v>
      </c>
      <c r="G10" s="17">
        <v>2.69370939629218</v>
      </c>
      <c r="H10" s="17">
        <v>45.4417689496861</v>
      </c>
      <c r="I10" s="17">
        <v>2.48701831101393</v>
      </c>
      <c r="J10" s="17">
        <v>53.6926167456681</v>
      </c>
      <c r="K10" s="17">
        <v>8.12720848056537</v>
      </c>
      <c r="L10" s="15">
        <f t="shared" si="1"/>
        <v>10480.19553</v>
      </c>
      <c r="M10" s="18"/>
      <c r="N10" s="15">
        <f t="shared" si="2"/>
        <v>114.5386262</v>
      </c>
      <c r="O10" s="15">
        <f t="shared" si="3"/>
        <v>0.5579221034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15.75" customHeight="1">
      <c r="A11" s="16" t="s">
        <v>60</v>
      </c>
      <c r="B11" s="16" t="s">
        <v>57</v>
      </c>
      <c r="C11" s="17">
        <v>80.5175290423536</v>
      </c>
      <c r="D11" s="17">
        <v>0.0</v>
      </c>
      <c r="E11" s="17">
        <v>28.1407035175879</v>
      </c>
      <c r="F11" s="17">
        <v>0.01151639</v>
      </c>
      <c r="G11" s="17">
        <v>8.25542703</v>
      </c>
      <c r="H11" s="17">
        <v>66.0920079</v>
      </c>
      <c r="I11" s="17">
        <v>1.25717409128177</v>
      </c>
      <c r="J11" s="17">
        <v>0.0</v>
      </c>
      <c r="K11" s="17">
        <v>12.6545936395759</v>
      </c>
      <c r="L11" s="15">
        <f t="shared" si="1"/>
        <v>10749.77689</v>
      </c>
      <c r="M11" s="18"/>
      <c r="N11" s="15">
        <f t="shared" si="2"/>
        <v>108.9632811</v>
      </c>
      <c r="O11" s="15">
        <f t="shared" si="3"/>
        <v>0.6015551239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15.75" customHeight="1">
      <c r="A12" s="16" t="s">
        <v>48</v>
      </c>
      <c r="B12" s="16" t="s">
        <v>43</v>
      </c>
      <c r="C12" s="17">
        <v>71.3980745515404</v>
      </c>
      <c r="D12" s="17">
        <v>67.3828125</v>
      </c>
      <c r="E12" s="17">
        <v>26.0050251256281</v>
      </c>
      <c r="F12" s="17">
        <v>0.0105942622950819</v>
      </c>
      <c r="G12" s="17">
        <v>9.04769450166376</v>
      </c>
      <c r="H12" s="17">
        <v>35.0604328679846</v>
      </c>
      <c r="I12" s="17">
        <v>14.3755124350915</v>
      </c>
      <c r="J12" s="17">
        <v>63.5933618992014</v>
      </c>
      <c r="K12" s="17">
        <v>21.2676678445229</v>
      </c>
      <c r="L12" s="15">
        <f t="shared" si="1"/>
        <v>13086.0765</v>
      </c>
      <c r="M12" s="18"/>
      <c r="N12" s="15">
        <f t="shared" si="2"/>
        <v>127.7832907</v>
      </c>
      <c r="O12" s="15">
        <f t="shared" si="3"/>
        <v>0.6244411845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15.75" customHeight="1">
      <c r="A13" s="16" t="s">
        <v>67</v>
      </c>
      <c r="B13" s="16" t="s">
        <v>57</v>
      </c>
      <c r="C13" s="17">
        <v>86.7353389224535</v>
      </c>
      <c r="D13" s="17">
        <v>69.3359375</v>
      </c>
      <c r="E13" s="17">
        <v>37.1859296482412</v>
      </c>
      <c r="F13" s="17">
        <v>0.0158401639344262</v>
      </c>
      <c r="G13" s="17">
        <v>7.93852004436697</v>
      </c>
      <c r="H13" s="17">
        <v>40.6352478216059</v>
      </c>
      <c r="I13" s="17">
        <v>8.44493031</v>
      </c>
      <c r="J13" s="17">
        <v>7.74939883031676</v>
      </c>
      <c r="K13" s="17">
        <v>45.5609540636042</v>
      </c>
      <c r="L13" s="15">
        <f t="shared" si="1"/>
        <v>13681.55703</v>
      </c>
      <c r="M13" s="18"/>
      <c r="N13" s="15">
        <f t="shared" si="2"/>
        <v>132.7957036</v>
      </c>
      <c r="O13" s="15">
        <f t="shared" si="3"/>
        <v>0.6282140608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5.75" customHeight="1">
      <c r="A14" s="16" t="s">
        <v>66</v>
      </c>
      <c r="B14" s="16" t="s">
        <v>57</v>
      </c>
      <c r="C14" s="17">
        <v>91.1914360031918</v>
      </c>
      <c r="D14" s="17">
        <v>50.9765625</v>
      </c>
      <c r="E14" s="17">
        <v>19.3467336683417</v>
      </c>
      <c r="F14" s="17">
        <v>0.0</v>
      </c>
      <c r="G14" s="17">
        <v>7.62161305656789</v>
      </c>
      <c r="H14" s="17">
        <v>47.1751147756019</v>
      </c>
      <c r="I14" s="17">
        <v>2.65099754031155</v>
      </c>
      <c r="J14" s="17">
        <v>43.7819757948799</v>
      </c>
      <c r="K14" s="17">
        <v>46.6651943462897</v>
      </c>
      <c r="L14" s="15">
        <f t="shared" si="1"/>
        <v>13885.93137</v>
      </c>
      <c r="M14" s="18"/>
      <c r="N14" s="15">
        <f t="shared" si="2"/>
        <v>132.9431985</v>
      </c>
      <c r="O14" s="15">
        <f t="shared" si="3"/>
        <v>0.6368908994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5.75" customHeight="1">
      <c r="A15" s="16" t="s">
        <v>63</v>
      </c>
      <c r="B15" s="16" t="s">
        <v>57</v>
      </c>
      <c r="C15" s="17">
        <v>93.1604091318901</v>
      </c>
      <c r="D15" s="17">
        <v>58.203125</v>
      </c>
      <c r="E15" s="17">
        <v>41.7085427135678</v>
      </c>
      <c r="F15" s="17">
        <v>0.00553279</v>
      </c>
      <c r="G15" s="17">
        <v>5.24481065</v>
      </c>
      <c r="H15" s="17">
        <v>44.139417221025</v>
      </c>
      <c r="I15" s="17">
        <v>0.90188576</v>
      </c>
      <c r="J15" s="17">
        <v>19.12263861538</v>
      </c>
      <c r="K15" s="17">
        <v>41.6961130742049</v>
      </c>
      <c r="L15" s="15">
        <f t="shared" si="1"/>
        <v>14465.10184</v>
      </c>
      <c r="M15" s="18"/>
      <c r="N15" s="15">
        <f t="shared" si="2"/>
        <v>133.7419863</v>
      </c>
      <c r="O15" s="15">
        <f t="shared" si="3"/>
        <v>0.6594925269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5.75" customHeight="1">
      <c r="A16" s="16" t="s">
        <v>56</v>
      </c>
      <c r="B16" s="16" t="s">
        <v>57</v>
      </c>
      <c r="C16" s="17">
        <v>78.3412955843186</v>
      </c>
      <c r="D16" s="17">
        <v>93.5546875</v>
      </c>
      <c r="E16" s="17">
        <v>25.251256281407</v>
      </c>
      <c r="F16" s="17">
        <v>0.0014918</v>
      </c>
      <c r="G16" s="17">
        <v>7.93852004436697</v>
      </c>
      <c r="H16" s="17">
        <v>79.9962522252412</v>
      </c>
      <c r="I16" s="17">
        <v>7.67969390543864</v>
      </c>
      <c r="J16" s="17">
        <v>63.6111743342602</v>
      </c>
      <c r="K16" s="17">
        <v>14.8630742049469</v>
      </c>
      <c r="L16" s="15">
        <f t="shared" si="1"/>
        <v>17565.52558</v>
      </c>
      <c r="M16" s="18"/>
      <c r="N16" s="15">
        <f t="shared" si="2"/>
        <v>162.2225469</v>
      </c>
      <c r="O16" s="15">
        <f t="shared" si="3"/>
        <v>0.660246466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75" customHeight="1">
      <c r="A17" s="16" t="s">
        <v>42</v>
      </c>
      <c r="B17" s="16" t="s">
        <v>43</v>
      </c>
      <c r="C17" s="17">
        <v>26.6298434148211</v>
      </c>
      <c r="D17" s="17">
        <v>84.9609375</v>
      </c>
      <c r="E17" s="17">
        <v>35.1758793969849</v>
      </c>
      <c r="F17" s="17">
        <v>0.117418032786885</v>
      </c>
      <c r="G17" s="17">
        <v>15.7027412454444</v>
      </c>
      <c r="H17" s="17">
        <v>46.7628595521409</v>
      </c>
      <c r="I17" s="17">
        <v>15.2773981962284</v>
      </c>
      <c r="J17" s="17">
        <v>21.1601832701651</v>
      </c>
      <c r="K17" s="17">
        <v>6.64752650176678</v>
      </c>
      <c r="L17" s="15">
        <f t="shared" si="1"/>
        <v>12183.5989</v>
      </c>
      <c r="M17" s="18"/>
      <c r="N17" s="15">
        <f t="shared" si="2"/>
        <v>111.0114801</v>
      </c>
      <c r="O17" s="15">
        <f t="shared" si="3"/>
        <v>0.6692122031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5.75" customHeight="1">
      <c r="A18" s="16" t="s">
        <v>85</v>
      </c>
      <c r="B18" s="17">
        <v>1989.0</v>
      </c>
      <c r="C18" s="17">
        <v>24.8681306154595</v>
      </c>
      <c r="D18" s="17">
        <v>100.0</v>
      </c>
      <c r="E18" s="17">
        <v>28.0150753768844</v>
      </c>
      <c r="F18" s="17">
        <v>0.0</v>
      </c>
      <c r="G18" s="17">
        <v>8.73078751386468</v>
      </c>
      <c r="H18" s="17">
        <v>72.2289890377588</v>
      </c>
      <c r="I18" s="17">
        <v>2.9516261273572</v>
      </c>
      <c r="J18" s="17">
        <v>28.0832830296972</v>
      </c>
      <c r="K18" s="17">
        <v>20.1634275618374</v>
      </c>
      <c r="L18" s="15">
        <f t="shared" si="1"/>
        <v>15332.26135</v>
      </c>
      <c r="M18" s="18"/>
      <c r="N18" s="15">
        <f t="shared" si="2"/>
        <v>133.7926327</v>
      </c>
      <c r="O18" s="15">
        <f t="shared" si="3"/>
        <v>0.6987634267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5.75" customHeight="1">
      <c r="A19" s="16" t="s">
        <v>49</v>
      </c>
      <c r="B19" s="16" t="s">
        <v>43</v>
      </c>
      <c r="C19" s="17">
        <v>20.6192938640579</v>
      </c>
      <c r="D19" s="17">
        <v>88.4765625</v>
      </c>
      <c r="E19" s="17">
        <v>43.467336683417</v>
      </c>
      <c r="F19" s="17">
        <v>0.0</v>
      </c>
      <c r="G19" s="17">
        <v>37.7277768974805</v>
      </c>
      <c r="H19" s="17">
        <v>62.934507636091</v>
      </c>
      <c r="I19" s="17">
        <v>39.0543864443837</v>
      </c>
      <c r="J19" s="17">
        <v>32.9935776275815</v>
      </c>
      <c r="K19" s="17">
        <v>7.57508833922261</v>
      </c>
      <c r="L19" s="15">
        <f t="shared" si="1"/>
        <v>15604.85857</v>
      </c>
      <c r="M19" s="18"/>
      <c r="N19" s="15">
        <f t="shared" si="2"/>
        <v>134.8999903</v>
      </c>
      <c r="O19" s="15">
        <f t="shared" si="3"/>
        <v>0.705349025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15.75" customHeight="1">
      <c r="A20" s="16" t="s">
        <v>83</v>
      </c>
      <c r="B20" s="17">
        <v>1989.0</v>
      </c>
      <c r="C20" s="17">
        <v>65.6984154947822</v>
      </c>
      <c r="D20" s="17">
        <v>34.5703125</v>
      </c>
      <c r="E20" s="17">
        <v>38.0653266331658</v>
      </c>
      <c r="F20" s="17">
        <v>0.0</v>
      </c>
      <c r="G20" s="17">
        <v>6.82934558707019</v>
      </c>
      <c r="H20" s="17">
        <v>62.8876604516068</v>
      </c>
      <c r="I20" s="17">
        <v>2.51434818256354</v>
      </c>
      <c r="J20" s="17">
        <v>67.673399107399</v>
      </c>
      <c r="K20" s="17">
        <v>5.01325088339222</v>
      </c>
      <c r="L20" s="15">
        <f t="shared" si="1"/>
        <v>15062.91252</v>
      </c>
      <c r="M20" s="18"/>
      <c r="N20" s="15">
        <f t="shared" si="2"/>
        <v>124.7918217</v>
      </c>
      <c r="O20" s="15">
        <f t="shared" si="3"/>
        <v>0.7360019773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A21" s="16" t="s">
        <v>62</v>
      </c>
      <c r="B21" s="16" t="s">
        <v>57</v>
      </c>
      <c r="C21" s="17">
        <v>71.0871840575354</v>
      </c>
      <c r="D21" s="17">
        <v>49.8046875</v>
      </c>
      <c r="E21" s="17">
        <v>32.286432160804</v>
      </c>
      <c r="F21" s="19">
        <v>4.77459016393442E-4</v>
      </c>
      <c r="G21" s="17">
        <v>0.23768024084931</v>
      </c>
      <c r="H21" s="17">
        <v>50.9978450295137</v>
      </c>
      <c r="I21" s="17">
        <v>2.54167805411314</v>
      </c>
      <c r="J21" s="17">
        <v>34.1454484</v>
      </c>
      <c r="K21" s="17">
        <v>37.7208480565371</v>
      </c>
      <c r="L21" s="20">
        <f t="shared" si="1"/>
        <v>14206.39605</v>
      </c>
      <c r="M21" s="18"/>
      <c r="N21" s="15">
        <f t="shared" si="2"/>
        <v>117.3557803</v>
      </c>
      <c r="O21" s="20">
        <f t="shared" si="3"/>
        <v>0.7381346359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15.75" customHeight="1">
      <c r="A22" s="16" t="s">
        <v>53</v>
      </c>
      <c r="B22" s="16" t="s">
        <v>43</v>
      </c>
      <c r="C22" s="17">
        <v>7.49971501704716</v>
      </c>
      <c r="D22" s="17">
        <v>67.1875</v>
      </c>
      <c r="E22" s="17">
        <v>58.2914572864321</v>
      </c>
      <c r="F22" s="17">
        <v>0.0</v>
      </c>
      <c r="G22" s="17">
        <v>67.3585802566946</v>
      </c>
      <c r="H22" s="17">
        <v>78.6002061276117</v>
      </c>
      <c r="I22" s="17">
        <v>11.6151954085815</v>
      </c>
      <c r="J22" s="17">
        <v>14.2677604821232</v>
      </c>
      <c r="K22" s="17">
        <v>6.57022968197879</v>
      </c>
      <c r="L22" s="15">
        <f t="shared" si="1"/>
        <v>16946.8275</v>
      </c>
      <c r="M22" s="18"/>
      <c r="N22" s="15">
        <f t="shared" si="2"/>
        <v>138.0765016</v>
      </c>
      <c r="O22" s="15">
        <f t="shared" si="3"/>
        <v>0.7483845032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A23" s="16" t="s">
        <v>47</v>
      </c>
      <c r="B23" s="16" t="s">
        <v>43</v>
      </c>
      <c r="C23" s="17">
        <v>41.4489569623926</v>
      </c>
      <c r="D23" s="17">
        <v>77.7343749999999</v>
      </c>
      <c r="E23" s="17">
        <v>30.1507537688442</v>
      </c>
      <c r="F23" s="17">
        <v>0.00106557</v>
      </c>
      <c r="G23" s="17">
        <v>10.6322294406591</v>
      </c>
      <c r="H23" s="17">
        <v>48.6367469315094</v>
      </c>
      <c r="I23" s="17">
        <v>11.3418966930855</v>
      </c>
      <c r="J23" s="17">
        <v>43.975933421076</v>
      </c>
      <c r="K23" s="17">
        <v>37.8312720848056</v>
      </c>
      <c r="L23" s="15">
        <f t="shared" si="1"/>
        <v>14879.85545</v>
      </c>
      <c r="M23" s="18"/>
      <c r="N23" s="15">
        <f t="shared" si="2"/>
        <v>121.0042189</v>
      </c>
      <c r="O23" s="15">
        <f t="shared" si="3"/>
        <v>0.7498153928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5.75" customHeight="1">
      <c r="A24" s="16" t="s">
        <v>44</v>
      </c>
      <c r="B24" s="16" t="s">
        <v>43</v>
      </c>
      <c r="C24" s="17">
        <v>5.83126936588702</v>
      </c>
      <c r="D24" s="17">
        <v>66.2109375</v>
      </c>
      <c r="E24" s="17">
        <v>30.4020100502512</v>
      </c>
      <c r="F24" s="19">
        <v>2.11065573770491E-4</v>
      </c>
      <c r="G24" s="17">
        <v>6.82934558707019</v>
      </c>
      <c r="H24" s="17">
        <v>67.3287735</v>
      </c>
      <c r="I24" s="17">
        <v>8.82754851052199</v>
      </c>
      <c r="J24" s="17">
        <v>32.1346224258557</v>
      </c>
      <c r="K24" s="17">
        <v>0.0</v>
      </c>
      <c r="L24" s="20">
        <f t="shared" si="1"/>
        <v>12962.74154</v>
      </c>
      <c r="M24" s="18"/>
      <c r="N24" s="15">
        <f t="shared" si="2"/>
        <v>105.0358864</v>
      </c>
      <c r="O24" s="20">
        <f t="shared" si="3"/>
        <v>0.7525152558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A25" s="16" t="s">
        <v>70</v>
      </c>
      <c r="B25" s="16" t="s">
        <v>57</v>
      </c>
      <c r="C25" s="17">
        <v>62.0713597313906</v>
      </c>
      <c r="D25" s="17">
        <v>57.6171875</v>
      </c>
      <c r="E25" s="17">
        <v>27.7638190954773</v>
      </c>
      <c r="F25" s="19">
        <v>0.0</v>
      </c>
      <c r="G25" s="17">
        <v>6.29060370781175</v>
      </c>
      <c r="H25" s="17">
        <v>62.9532465098847</v>
      </c>
      <c r="I25" s="17">
        <v>0.327958458595244</v>
      </c>
      <c r="J25" s="17">
        <v>20.1250829</v>
      </c>
      <c r="K25" s="17">
        <v>51.3030035335689</v>
      </c>
      <c r="L25" s="20">
        <f t="shared" si="1"/>
        <v>15234.64379</v>
      </c>
      <c r="M25" s="18"/>
      <c r="N25" s="15">
        <f t="shared" si="2"/>
        <v>122.40601</v>
      </c>
      <c r="O25" s="20">
        <f t="shared" si="3"/>
        <v>0.7589020301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16" t="s">
        <v>51</v>
      </c>
      <c r="B26" s="16" t="s">
        <v>43</v>
      </c>
      <c r="C26" s="17">
        <v>6.29760510689451</v>
      </c>
      <c r="D26" s="17">
        <v>77.7343749999999</v>
      </c>
      <c r="E26" s="17">
        <v>50.6281407</v>
      </c>
      <c r="F26" s="17">
        <v>0.0114344262295081</v>
      </c>
      <c r="G26" s="17">
        <v>4.88036761210584</v>
      </c>
      <c r="H26" s="17">
        <v>58.9337580811393</v>
      </c>
      <c r="I26" s="17">
        <v>12.3531019404208</v>
      </c>
      <c r="J26" s="17">
        <v>87.4758789941911</v>
      </c>
      <c r="K26" s="17">
        <v>43.6837455830388</v>
      </c>
      <c r="L26" s="15">
        <f t="shared" si="1"/>
        <v>20073.94569</v>
      </c>
      <c r="M26" s="18"/>
      <c r="N26" s="15">
        <f t="shared" si="2"/>
        <v>147.8357387</v>
      </c>
      <c r="O26" s="15">
        <f t="shared" si="3"/>
        <v>0.8279602004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16" t="s">
        <v>58</v>
      </c>
      <c r="B27" s="16" t="s">
        <v>57</v>
      </c>
      <c r="C27" s="17">
        <v>55.5426593572857</v>
      </c>
      <c r="D27" s="17">
        <v>61.5234375</v>
      </c>
      <c r="E27" s="17">
        <v>53.3919597989949</v>
      </c>
      <c r="F27" s="17">
        <v>0.07069672</v>
      </c>
      <c r="G27" s="17">
        <v>30.4389161781017</v>
      </c>
      <c r="H27" s="17">
        <v>64.5741590930385</v>
      </c>
      <c r="I27" s="17">
        <v>5.00136649</v>
      </c>
      <c r="J27" s="17">
        <v>53.8638140381779</v>
      </c>
      <c r="K27" s="17">
        <v>56.7137809187279</v>
      </c>
      <c r="L27" s="15">
        <f t="shared" si="1"/>
        <v>20259.24342</v>
      </c>
      <c r="M27" s="18"/>
      <c r="N27" s="15">
        <f t="shared" si="2"/>
        <v>144.7755278</v>
      </c>
      <c r="O27" s="15">
        <f t="shared" si="3"/>
        <v>0.8532655618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16" t="s">
        <v>64</v>
      </c>
      <c r="B28" s="16" t="s">
        <v>57</v>
      </c>
      <c r="C28" s="17">
        <v>55.646289521954</v>
      </c>
      <c r="D28" s="17">
        <v>45.703125</v>
      </c>
      <c r="E28" s="17">
        <v>58.6683417085427</v>
      </c>
      <c r="F28" s="17">
        <v>0.0149180327868852</v>
      </c>
      <c r="G28" s="17">
        <v>5.4824908889241</v>
      </c>
      <c r="H28" s="17">
        <v>58.7651082169961</v>
      </c>
      <c r="I28" s="17">
        <v>2.45968843946433</v>
      </c>
      <c r="J28" s="17">
        <v>14.1856253649075</v>
      </c>
      <c r="K28" s="17">
        <v>40.3710247349823</v>
      </c>
      <c r="L28" s="15">
        <f t="shared" si="1"/>
        <v>16561.10429</v>
      </c>
      <c r="M28" s="18"/>
      <c r="N28" s="15">
        <f t="shared" si="2"/>
        <v>118.1006225</v>
      </c>
      <c r="O28" s="15">
        <f t="shared" si="3"/>
        <v>0.8550534373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customHeight="1">
      <c r="A29" s="16" t="s">
        <v>68</v>
      </c>
      <c r="B29" s="16" t="s">
        <v>57</v>
      </c>
      <c r="C29" s="17">
        <v>67.7710187881488</v>
      </c>
      <c r="D29" s="17">
        <v>57.421875</v>
      </c>
      <c r="E29" s="17">
        <v>68.21608040201</v>
      </c>
      <c r="F29" s="17">
        <v>0.00344262</v>
      </c>
      <c r="G29" s="17">
        <v>8.88924100776422</v>
      </c>
      <c r="H29" s="17">
        <v>60.7607982760236</v>
      </c>
      <c r="I29" s="17">
        <v>6.28587045640885</v>
      </c>
      <c r="J29" s="17">
        <v>65.6229899161825</v>
      </c>
      <c r="K29" s="17">
        <v>51.7446996466431</v>
      </c>
      <c r="L29" s="15">
        <f t="shared" si="1"/>
        <v>21468.25023</v>
      </c>
      <c r="M29" s="18"/>
      <c r="N29" s="15">
        <f t="shared" si="2"/>
        <v>152.7675112</v>
      </c>
      <c r="O29" s="15">
        <f t="shared" si="3"/>
        <v>0.8568835336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5.75" customHeight="1">
      <c r="A30" s="16" t="s">
        <v>73</v>
      </c>
      <c r="B30" s="17">
        <v>1989.0</v>
      </c>
      <c r="C30" s="17">
        <v>3.83120718778822</v>
      </c>
      <c r="D30" s="17">
        <v>96.6796875</v>
      </c>
      <c r="E30" s="17">
        <v>60.0502512562814</v>
      </c>
      <c r="F30" s="19">
        <v>3.60655737704918E-4</v>
      </c>
      <c r="G30" s="17">
        <v>38.9954048486769</v>
      </c>
      <c r="H30" s="17">
        <v>100.0</v>
      </c>
      <c r="I30" s="17">
        <v>2.2683793386171</v>
      </c>
      <c r="J30" s="17">
        <v>40.9903713892709</v>
      </c>
      <c r="K30" s="17">
        <v>63.7809187279151</v>
      </c>
      <c r="L30" s="20">
        <f t="shared" si="1"/>
        <v>24615.28272</v>
      </c>
      <c r="M30" s="18"/>
      <c r="N30" s="15">
        <f t="shared" si="2"/>
        <v>173.9013401</v>
      </c>
      <c r="O30" s="20">
        <f t="shared" si="3"/>
        <v>0.8630939085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5.75" customHeight="1">
      <c r="A31" s="16" t="s">
        <v>59</v>
      </c>
      <c r="B31" s="16" t="s">
        <v>57</v>
      </c>
      <c r="C31" s="17">
        <v>48.2885478305025</v>
      </c>
      <c r="D31" s="17">
        <v>75.78125</v>
      </c>
      <c r="E31" s="17">
        <v>63.5678392</v>
      </c>
      <c r="F31" s="17">
        <v>0.471311475409836</v>
      </c>
      <c r="G31" s="17">
        <v>8.09697354</v>
      </c>
      <c r="H31" s="17">
        <v>65.3518223554764</v>
      </c>
      <c r="I31" s="17">
        <v>4.70073790653184</v>
      </c>
      <c r="J31" s="17">
        <v>71.566405747479</v>
      </c>
      <c r="K31" s="17">
        <v>73.8295053003533</v>
      </c>
      <c r="L31" s="15">
        <f t="shared" si="1"/>
        <v>23457.30173</v>
      </c>
      <c r="M31" s="18"/>
      <c r="N31" s="15">
        <f t="shared" si="2"/>
        <v>164.4589277</v>
      </c>
      <c r="O31" s="15">
        <f t="shared" si="3"/>
        <v>0.8697145822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5.75" customHeight="1">
      <c r="A32" s="16" t="s">
        <v>65</v>
      </c>
      <c r="B32" s="16" t="s">
        <v>57</v>
      </c>
      <c r="C32" s="17">
        <v>32.4331326362477</v>
      </c>
      <c r="D32" s="17">
        <v>42.3828125</v>
      </c>
      <c r="E32" s="17">
        <v>40.2010050251256</v>
      </c>
      <c r="F32" s="17">
        <v>0.00971311</v>
      </c>
      <c r="G32" s="17">
        <v>17.921090160038</v>
      </c>
      <c r="H32" s="17">
        <v>52.8155157875011</v>
      </c>
      <c r="I32" s="17">
        <v>2.37769882481552</v>
      </c>
      <c r="J32" s="17">
        <v>59.6558241714743</v>
      </c>
      <c r="K32" s="17">
        <v>41.3648409893992</v>
      </c>
      <c r="L32" s="15">
        <f t="shared" si="1"/>
        <v>16267.45037</v>
      </c>
      <c r="M32" s="18"/>
      <c r="N32" s="15">
        <f t="shared" si="2"/>
        <v>113.360032</v>
      </c>
      <c r="O32" s="15">
        <f t="shared" si="3"/>
        <v>0.8750153718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5.75" customHeight="1">
      <c r="A33" s="16" t="s">
        <v>80</v>
      </c>
      <c r="B33" s="17">
        <v>1989.0</v>
      </c>
      <c r="C33" s="17">
        <v>8.9194482730033</v>
      </c>
      <c r="D33" s="17">
        <v>68.75</v>
      </c>
      <c r="E33" s="17">
        <v>81.1557788944723</v>
      </c>
      <c r="F33" s="17">
        <v>0.00134016</v>
      </c>
      <c r="G33" s="17">
        <v>14.2766598003485</v>
      </c>
      <c r="H33" s="17">
        <v>87.7541459758268</v>
      </c>
      <c r="I33" s="17">
        <v>42.8805684613282</v>
      </c>
      <c r="J33" s="17">
        <v>93.5588255667817</v>
      </c>
      <c r="K33" s="17">
        <v>28.4452297</v>
      </c>
      <c r="L33" s="15">
        <f t="shared" si="1"/>
        <v>25287.50107</v>
      </c>
      <c r="M33" s="18"/>
      <c r="N33" s="15">
        <f t="shared" si="2"/>
        <v>175.2087919</v>
      </c>
      <c r="O33" s="15">
        <f t="shared" si="3"/>
        <v>0.8800476167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15.75" customHeight="1">
      <c r="A34" s="16" t="s">
        <v>74</v>
      </c>
      <c r="B34" s="17">
        <v>1989.0</v>
      </c>
      <c r="C34" s="17">
        <v>8.70182493</v>
      </c>
      <c r="D34" s="17">
        <v>88.8671875</v>
      </c>
      <c r="E34" s="17">
        <v>65.5778894472361</v>
      </c>
      <c r="F34" s="19">
        <v>3.36065573770491E-4</v>
      </c>
      <c r="G34" s="17">
        <v>11.4244969101568</v>
      </c>
      <c r="H34" s="17">
        <v>94.2471657453387</v>
      </c>
      <c r="I34" s="17">
        <v>11.0139382344902</v>
      </c>
      <c r="J34" s="17">
        <v>20.1913847189098</v>
      </c>
      <c r="K34" s="17">
        <v>60.2473498233215</v>
      </c>
      <c r="L34" s="20">
        <f t="shared" si="1"/>
        <v>23032.43805</v>
      </c>
      <c r="M34" s="18"/>
      <c r="N34" s="15">
        <f t="shared" si="2"/>
        <v>159.5159796</v>
      </c>
      <c r="O34" s="20">
        <f t="shared" si="3"/>
        <v>0.880423991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5.75" customHeight="1">
      <c r="A35" s="16" t="s">
        <v>82</v>
      </c>
      <c r="B35" s="17">
        <v>1989.0</v>
      </c>
      <c r="C35" s="17">
        <v>0.370995989512627</v>
      </c>
      <c r="D35" s="17">
        <v>91.015625</v>
      </c>
      <c r="E35" s="17">
        <v>63.3165829145728</v>
      </c>
      <c r="F35" s="17">
        <v>0.977459016393442</v>
      </c>
      <c r="G35" s="17">
        <v>5.32403739502455</v>
      </c>
      <c r="H35" s="17">
        <v>87.5480183640963</v>
      </c>
      <c r="I35" s="17">
        <v>6.91445750204973</v>
      </c>
      <c r="J35" s="17">
        <v>43.923485695625</v>
      </c>
      <c r="K35" s="17">
        <v>53.732332155477</v>
      </c>
      <c r="L35" s="15">
        <f t="shared" si="1"/>
        <v>22834.43822</v>
      </c>
      <c r="M35" s="18"/>
      <c r="N35" s="15">
        <f t="shared" si="2"/>
        <v>157.6425497</v>
      </c>
      <c r="O35" s="15">
        <f t="shared" si="3"/>
        <v>0.8832284158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5.75" customHeight="1">
      <c r="A36" s="16" t="s">
        <v>76</v>
      </c>
      <c r="B36" s="17">
        <v>1989.0</v>
      </c>
      <c r="C36" s="17">
        <v>0.0</v>
      </c>
      <c r="D36" s="17">
        <v>49.609375</v>
      </c>
      <c r="E36" s="17">
        <v>86.180904522613</v>
      </c>
      <c r="F36" s="17">
        <v>0.00239754</v>
      </c>
      <c r="G36" s="17">
        <v>44.2243701473617</v>
      </c>
      <c r="H36" s="17">
        <v>80.0337299728286</v>
      </c>
      <c r="I36" s="17">
        <v>3.60754304454769</v>
      </c>
      <c r="J36" s="17">
        <v>16.2182221210651</v>
      </c>
      <c r="K36" s="17">
        <v>33.7455830388692</v>
      </c>
      <c r="L36" s="15">
        <f t="shared" si="1"/>
        <v>20936.94432</v>
      </c>
      <c r="M36" s="18"/>
      <c r="N36" s="15">
        <f t="shared" si="2"/>
        <v>140.2292434</v>
      </c>
      <c r="O36" s="15">
        <f t="shared" si="3"/>
        <v>0.9103970863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5.75" customHeight="1">
      <c r="A37" s="16" t="s">
        <v>45</v>
      </c>
      <c r="B37" s="16" t="s">
        <v>43</v>
      </c>
      <c r="C37" s="17">
        <v>13.3651823372747</v>
      </c>
      <c r="D37" s="17">
        <v>66.2109375</v>
      </c>
      <c r="E37" s="17">
        <v>61.180904522613</v>
      </c>
      <c r="F37" s="19">
        <v>3.68852459016393E-4</v>
      </c>
      <c r="G37" s="17">
        <v>13.3259388369513</v>
      </c>
      <c r="H37" s="17">
        <v>83.4723133139698</v>
      </c>
      <c r="I37" s="17">
        <v>7.59770429078983</v>
      </c>
      <c r="J37" s="17">
        <v>21.1829436038514</v>
      </c>
      <c r="K37" s="17">
        <v>54.7261484</v>
      </c>
      <c r="L37" s="20">
        <f t="shared" si="1"/>
        <v>20695.45329</v>
      </c>
      <c r="M37" s="18"/>
      <c r="N37" s="15">
        <f t="shared" si="2"/>
        <v>137.6670646</v>
      </c>
      <c r="O37" s="20">
        <f t="shared" si="3"/>
        <v>0.916644723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5.75" customHeight="1">
      <c r="A38" s="16" t="s">
        <v>78</v>
      </c>
      <c r="B38" s="17">
        <v>1989.0</v>
      </c>
      <c r="C38" s="17">
        <v>5.70691316828502</v>
      </c>
      <c r="D38" s="17">
        <v>68.1640625</v>
      </c>
      <c r="E38" s="17">
        <v>79.0201005025125</v>
      </c>
      <c r="F38" s="17">
        <v>0.0</v>
      </c>
      <c r="G38" s="17">
        <v>14.2766598003485</v>
      </c>
      <c r="H38" s="17">
        <v>94.3127518</v>
      </c>
      <c r="I38" s="17">
        <v>38.5077890133916</v>
      </c>
      <c r="J38" s="17">
        <v>83.5333933678366</v>
      </c>
      <c r="K38" s="17">
        <v>100.0</v>
      </c>
      <c r="L38" s="15">
        <f t="shared" si="1"/>
        <v>29757.54917</v>
      </c>
      <c r="M38" s="18"/>
      <c r="N38" s="15">
        <f t="shared" si="2"/>
        <v>196.1695194</v>
      </c>
      <c r="O38" s="15">
        <f t="shared" si="3"/>
        <v>0.9249575118</v>
      </c>
      <c r="P38" s="12">
        <v>6.0</v>
      </c>
      <c r="Q38" s="12"/>
      <c r="R38" s="12"/>
      <c r="S38" s="12"/>
      <c r="T38" s="12"/>
      <c r="U38" s="12"/>
      <c r="V38" s="12"/>
      <c r="W38" s="12"/>
      <c r="X38" s="12"/>
      <c r="Y38" s="12"/>
    </row>
    <row r="39" ht="15.75" customHeight="1">
      <c r="A39" s="16" t="s">
        <v>84</v>
      </c>
      <c r="B39" s="17">
        <v>1989.0</v>
      </c>
      <c r="C39" s="17">
        <v>23.8318289687762</v>
      </c>
      <c r="D39" s="17">
        <v>58.203125</v>
      </c>
      <c r="E39" s="17">
        <v>76.2562814070351</v>
      </c>
      <c r="F39" s="17">
        <v>0.0</v>
      </c>
      <c r="G39" s="17">
        <v>22.5162414831247</v>
      </c>
      <c r="H39" s="17">
        <v>98.2853930478778</v>
      </c>
      <c r="I39" s="17">
        <v>11.4785460508335</v>
      </c>
      <c r="J39" s="17">
        <v>83.4769873234837</v>
      </c>
      <c r="K39" s="17">
        <v>51.8551236749116</v>
      </c>
      <c r="L39" s="15">
        <f t="shared" si="1"/>
        <v>26505.8483</v>
      </c>
      <c r="M39" s="18"/>
      <c r="N39" s="15">
        <f t="shared" si="2"/>
        <v>172.4143213</v>
      </c>
      <c r="O39" s="15">
        <f t="shared" si="3"/>
        <v>0.9373990804</v>
      </c>
      <c r="P39" s="12">
        <v>5.0</v>
      </c>
      <c r="Q39" s="12"/>
      <c r="R39" s="12"/>
      <c r="S39" s="12"/>
      <c r="T39" s="12"/>
      <c r="U39" s="12"/>
      <c r="V39" s="12"/>
      <c r="W39" s="12"/>
      <c r="X39" s="12"/>
      <c r="Y39" s="12"/>
    </row>
    <row r="40" ht="15.75" customHeight="1">
      <c r="A40" s="16" t="s">
        <v>77</v>
      </c>
      <c r="B40" s="17">
        <v>1989.0</v>
      </c>
      <c r="C40" s="17">
        <v>0.09637605</v>
      </c>
      <c r="D40" s="17">
        <v>59.375</v>
      </c>
      <c r="E40" s="17">
        <v>72.8643216</v>
      </c>
      <c r="F40" s="17">
        <v>0.00936475</v>
      </c>
      <c r="G40" s="17">
        <v>7.46315956266835</v>
      </c>
      <c r="H40" s="17">
        <v>90.9022767731659</v>
      </c>
      <c r="I40" s="17">
        <v>2.65099754031155</v>
      </c>
      <c r="J40" s="17">
        <v>21.1443499945573</v>
      </c>
      <c r="K40" s="17">
        <v>47.8798586572438</v>
      </c>
      <c r="L40" s="15">
        <f t="shared" si="1"/>
        <v>21734.75047</v>
      </c>
      <c r="M40" s="18"/>
      <c r="N40" s="15">
        <f t="shared" si="2"/>
        <v>141.0678001</v>
      </c>
      <c r="O40" s="15">
        <f t="shared" si="3"/>
        <v>0.9394700008</v>
      </c>
      <c r="P40" s="12">
        <v>4.0</v>
      </c>
      <c r="Q40" s="12"/>
      <c r="R40" s="12"/>
      <c r="S40" s="12"/>
      <c r="T40" s="12"/>
      <c r="U40" s="12"/>
      <c r="V40" s="12"/>
      <c r="W40" s="12"/>
      <c r="X40" s="12"/>
      <c r="Y40" s="12"/>
    </row>
    <row r="41" ht="15.75" customHeight="1">
      <c r="A41" s="16" t="s">
        <v>75</v>
      </c>
      <c r="B41" s="17">
        <v>1989.0</v>
      </c>
      <c r="C41" s="17">
        <v>0.155445247002497</v>
      </c>
      <c r="D41" s="17">
        <v>58.59375</v>
      </c>
      <c r="E41" s="17">
        <v>79.145728643216</v>
      </c>
      <c r="F41" s="17">
        <v>0.327868852459016</v>
      </c>
      <c r="G41" s="17">
        <v>9.36460148946284</v>
      </c>
      <c r="H41" s="17">
        <v>92.8323808</v>
      </c>
      <c r="I41" s="17">
        <v>3.88084176004372</v>
      </c>
      <c r="J41" s="17">
        <v>19.2146695298506</v>
      </c>
      <c r="K41" s="17">
        <v>46.2234982332155</v>
      </c>
      <c r="L41" s="15">
        <f t="shared" si="1"/>
        <v>22355.13181</v>
      </c>
      <c r="M41" s="18"/>
      <c r="N41" s="15">
        <f t="shared" si="2"/>
        <v>144.650712</v>
      </c>
      <c r="O41" s="15">
        <f t="shared" si="3"/>
        <v>0.9423512501</v>
      </c>
      <c r="P41" s="12">
        <v>3.0</v>
      </c>
      <c r="Q41" s="12"/>
      <c r="R41" s="12"/>
      <c r="S41" s="12"/>
      <c r="T41" s="12"/>
      <c r="U41" s="12"/>
      <c r="V41" s="12"/>
      <c r="W41" s="12"/>
      <c r="X41" s="12"/>
      <c r="Y41" s="12"/>
    </row>
    <row r="42" ht="15.75" customHeight="1">
      <c r="A42" s="16" t="s">
        <v>81</v>
      </c>
      <c r="B42" s="17">
        <v>1989.0</v>
      </c>
      <c r="C42" s="17">
        <v>7.16809849</v>
      </c>
      <c r="D42" s="17">
        <v>50.0</v>
      </c>
      <c r="E42" s="17">
        <v>64.0703517587939</v>
      </c>
      <c r="F42" s="17">
        <v>1.21516393442622</v>
      </c>
      <c r="G42" s="17">
        <v>7.62161305656789</v>
      </c>
      <c r="H42" s="17">
        <v>75.573878</v>
      </c>
      <c r="I42" s="17">
        <v>13.8289150040994</v>
      </c>
      <c r="J42" s="17">
        <v>63.7823716267701</v>
      </c>
      <c r="K42" s="17">
        <v>47.9902826855123</v>
      </c>
      <c r="L42" s="15">
        <f t="shared" si="1"/>
        <v>21441.93406</v>
      </c>
      <c r="M42" s="18"/>
      <c r="N42" s="15">
        <f t="shared" si="2"/>
        <v>137.8037202</v>
      </c>
      <c r="O42" s="15">
        <f t="shared" si="3"/>
        <v>0.9487661157</v>
      </c>
      <c r="P42" s="12">
        <v>2.0</v>
      </c>
      <c r="Q42" s="12"/>
      <c r="R42" s="12"/>
      <c r="S42" s="12"/>
      <c r="T42" s="12"/>
      <c r="U42" s="12"/>
      <c r="V42" s="12"/>
      <c r="W42" s="12"/>
      <c r="X42" s="12"/>
      <c r="Y42" s="12"/>
    </row>
    <row r="43" ht="15.75" customHeight="1">
      <c r="A43" s="16" t="s">
        <v>79</v>
      </c>
      <c r="B43" s="17">
        <v>1989.0</v>
      </c>
      <c r="C43" s="17">
        <v>1.55134356508492</v>
      </c>
      <c r="D43" s="17">
        <v>68.359375</v>
      </c>
      <c r="E43" s="17">
        <v>93.21608040201</v>
      </c>
      <c r="F43" s="17">
        <v>0.0203073770491803</v>
      </c>
      <c r="G43" s="17">
        <v>8.09697354</v>
      </c>
      <c r="H43" s="17">
        <v>89.16893094725</v>
      </c>
      <c r="I43" s="17">
        <v>7.43372506</v>
      </c>
      <c r="J43" s="17">
        <v>41.9759927958595</v>
      </c>
      <c r="K43" s="17">
        <v>51.3030035335689</v>
      </c>
      <c r="L43" s="15">
        <f t="shared" si="1"/>
        <v>25150.46419</v>
      </c>
      <c r="M43" s="18"/>
      <c r="N43" s="15">
        <f t="shared" si="2"/>
        <v>160.7188555</v>
      </c>
      <c r="O43" s="15">
        <f t="shared" si="3"/>
        <v>0.9541910218</v>
      </c>
      <c r="P43" s="12">
        <v>1.0</v>
      </c>
      <c r="Q43" s="12"/>
      <c r="R43" s="12"/>
      <c r="S43" s="12"/>
      <c r="T43" s="12"/>
      <c r="U43" s="12"/>
      <c r="V43" s="12"/>
      <c r="W43" s="12"/>
      <c r="X43" s="12"/>
      <c r="Y43" s="12"/>
    </row>
    <row r="44" ht="15.75" customHeight="1">
      <c r="A44" s="10" t="s">
        <v>86</v>
      </c>
      <c r="B44" s="13"/>
      <c r="C44" s="14">
        <v>9.25</v>
      </c>
      <c r="D44" s="14">
        <v>26.32</v>
      </c>
      <c r="E44" s="14">
        <v>100.0</v>
      </c>
      <c r="F44" s="14">
        <v>17.56</v>
      </c>
      <c r="G44" s="14">
        <v>8.57</v>
      </c>
      <c r="H44" s="14">
        <v>95.18</v>
      </c>
      <c r="I44" s="14">
        <v>7.71</v>
      </c>
      <c r="J44" s="14">
        <v>49.51</v>
      </c>
      <c r="K44" s="14">
        <v>64.77</v>
      </c>
      <c r="L44" s="11"/>
      <c r="M44" s="15">
        <f>sqrt(C44^2+D44^2+E44^2+F44^2+G44^2+H44^2+I44^2+J44^2+K44^2)</f>
        <v>164.0889177</v>
      </c>
      <c r="N44" s="11"/>
      <c r="O44" s="11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8"/>
      <c r="M45" s="18"/>
      <c r="N45" s="18"/>
      <c r="O45" s="18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8"/>
      <c r="M46" s="18"/>
      <c r="N46" s="18"/>
      <c r="O46" s="18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8"/>
      <c r="M47" s="18"/>
      <c r="N47" s="18"/>
      <c r="O47" s="18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8"/>
      <c r="M48" s="18"/>
      <c r="N48" s="18"/>
      <c r="O48" s="18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8"/>
      <c r="M49" s="18"/>
      <c r="N49" s="18"/>
      <c r="O49" s="18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8"/>
      <c r="M50" s="18"/>
      <c r="N50" s="18"/>
      <c r="O50" s="18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8"/>
      <c r="M51" s="18"/>
      <c r="N51" s="18"/>
      <c r="O51" s="18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8"/>
      <c r="M52" s="18"/>
      <c r="N52" s="18"/>
      <c r="O52" s="18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8"/>
      <c r="M53" s="18"/>
      <c r="N53" s="18"/>
      <c r="O53" s="18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8"/>
      <c r="M54" s="18"/>
      <c r="N54" s="18"/>
      <c r="O54" s="18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8"/>
      <c r="M55" s="18"/>
      <c r="N55" s="18"/>
      <c r="O55" s="18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8"/>
      <c r="M56" s="18"/>
      <c r="N56" s="18"/>
      <c r="O56" s="18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8"/>
      <c r="M57" s="18"/>
      <c r="N57" s="18"/>
      <c r="O57" s="18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8"/>
      <c r="M58" s="18"/>
      <c r="N58" s="18"/>
      <c r="O58" s="18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8"/>
      <c r="M59" s="18"/>
      <c r="N59" s="18"/>
      <c r="O59" s="18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8"/>
      <c r="M60" s="18"/>
      <c r="N60" s="18"/>
      <c r="O60" s="18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8"/>
      <c r="M61" s="18"/>
      <c r="N61" s="18"/>
      <c r="O61" s="18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8"/>
      <c r="M62" s="18"/>
      <c r="N62" s="18"/>
      <c r="O62" s="18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8"/>
      <c r="M63" s="18"/>
      <c r="N63" s="18"/>
      <c r="O63" s="18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8"/>
      <c r="M64" s="18"/>
      <c r="N64" s="18"/>
      <c r="O64" s="18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8"/>
      <c r="M65" s="18"/>
      <c r="N65" s="18"/>
      <c r="O65" s="18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8"/>
      <c r="M66" s="18"/>
      <c r="N66" s="18"/>
      <c r="O66" s="18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8"/>
      <c r="M67" s="18"/>
      <c r="N67" s="18"/>
      <c r="O67" s="18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8"/>
      <c r="M68" s="18"/>
      <c r="N68" s="18"/>
      <c r="O68" s="18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8"/>
      <c r="M69" s="18"/>
      <c r="N69" s="18"/>
      <c r="O69" s="18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8"/>
      <c r="M70" s="18"/>
      <c r="N70" s="18"/>
      <c r="O70" s="18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8"/>
      <c r="M71" s="18"/>
      <c r="N71" s="18"/>
      <c r="O71" s="18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8"/>
      <c r="M72" s="18"/>
      <c r="N72" s="18"/>
      <c r="O72" s="18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8"/>
      <c r="M73" s="18"/>
      <c r="N73" s="18"/>
      <c r="O73" s="18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8"/>
      <c r="M74" s="18"/>
      <c r="N74" s="18"/>
      <c r="O74" s="18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8"/>
      <c r="M75" s="18"/>
      <c r="N75" s="18"/>
      <c r="O75" s="18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8"/>
      <c r="M76" s="18"/>
      <c r="N76" s="18"/>
      <c r="O76" s="18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8"/>
      <c r="M77" s="18"/>
      <c r="N77" s="18"/>
      <c r="O77" s="18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8"/>
      <c r="M78" s="18"/>
      <c r="N78" s="18"/>
      <c r="O78" s="18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8"/>
      <c r="M79" s="18"/>
      <c r="N79" s="18"/>
      <c r="O79" s="18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8"/>
      <c r="M80" s="18"/>
      <c r="N80" s="18"/>
      <c r="O80" s="18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8"/>
      <c r="M81" s="18"/>
      <c r="N81" s="18"/>
      <c r="O81" s="18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8"/>
      <c r="M82" s="18"/>
      <c r="N82" s="18"/>
      <c r="O82" s="18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8"/>
      <c r="M83" s="18"/>
      <c r="N83" s="18"/>
      <c r="O83" s="18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8"/>
      <c r="M84" s="18"/>
      <c r="N84" s="18"/>
      <c r="O84" s="18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8"/>
      <c r="M85" s="18"/>
      <c r="N85" s="18"/>
      <c r="O85" s="18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8"/>
      <c r="M86" s="18"/>
      <c r="N86" s="18"/>
      <c r="O86" s="18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8"/>
      <c r="M87" s="18"/>
      <c r="N87" s="18"/>
      <c r="O87" s="18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8"/>
      <c r="M88" s="18"/>
      <c r="N88" s="18"/>
      <c r="O88" s="18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8"/>
      <c r="M89" s="18"/>
      <c r="N89" s="18"/>
      <c r="O89" s="18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8"/>
      <c r="M90" s="18"/>
      <c r="N90" s="18"/>
      <c r="O90" s="18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8"/>
      <c r="M91" s="18"/>
      <c r="N91" s="18"/>
      <c r="O91" s="18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8"/>
      <c r="M92" s="18"/>
      <c r="N92" s="18"/>
      <c r="O92" s="18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8"/>
      <c r="M93" s="18"/>
      <c r="N93" s="18"/>
      <c r="O93" s="18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8"/>
      <c r="M94" s="18"/>
      <c r="N94" s="18"/>
      <c r="O94" s="18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8"/>
      <c r="M95" s="18"/>
      <c r="N95" s="18"/>
      <c r="O95" s="18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8"/>
      <c r="M96" s="18"/>
      <c r="N96" s="18"/>
      <c r="O96" s="18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8"/>
      <c r="M97" s="18"/>
      <c r="N97" s="18"/>
      <c r="O97" s="18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8"/>
      <c r="M98" s="18"/>
      <c r="N98" s="18"/>
      <c r="O98" s="18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8"/>
      <c r="M99" s="18"/>
      <c r="N99" s="18"/>
      <c r="O99" s="18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8"/>
      <c r="M100" s="18"/>
      <c r="N100" s="18"/>
      <c r="O100" s="18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8"/>
      <c r="M101" s="18"/>
      <c r="N101" s="18"/>
      <c r="O101" s="18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8"/>
      <c r="M102" s="18"/>
      <c r="N102" s="18"/>
      <c r="O102" s="18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8"/>
      <c r="M103" s="18"/>
      <c r="N103" s="18"/>
      <c r="O103" s="18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8"/>
      <c r="M144" s="18"/>
      <c r="N144" s="18"/>
      <c r="O144" s="18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8"/>
      <c r="M145" s="18"/>
      <c r="N145" s="18"/>
      <c r="O145" s="18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8"/>
      <c r="M146" s="18"/>
      <c r="N146" s="18"/>
      <c r="O146" s="18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8"/>
      <c r="M147" s="18"/>
      <c r="N147" s="18"/>
      <c r="O147" s="18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8"/>
      <c r="M148" s="18"/>
      <c r="N148" s="18"/>
      <c r="O148" s="18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8"/>
      <c r="M149" s="18"/>
      <c r="N149" s="18"/>
      <c r="O149" s="18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8"/>
      <c r="M150" s="18"/>
      <c r="N150" s="18"/>
      <c r="O150" s="18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8"/>
      <c r="M151" s="18"/>
      <c r="N151" s="18"/>
      <c r="O151" s="18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8"/>
      <c r="M152" s="18"/>
      <c r="N152" s="18"/>
      <c r="O152" s="18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8"/>
      <c r="M153" s="18"/>
      <c r="N153" s="18"/>
      <c r="O153" s="18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8"/>
      <c r="M154" s="18"/>
      <c r="N154" s="18"/>
      <c r="O154" s="18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8"/>
      <c r="M155" s="18"/>
      <c r="N155" s="18"/>
      <c r="O155" s="18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8"/>
      <c r="M156" s="18"/>
      <c r="N156" s="18"/>
      <c r="O156" s="18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8"/>
      <c r="M157" s="18"/>
      <c r="N157" s="18"/>
      <c r="O157" s="18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8"/>
      <c r="M158" s="18"/>
      <c r="N158" s="18"/>
      <c r="O158" s="18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8"/>
      <c r="M159" s="18"/>
      <c r="N159" s="18"/>
      <c r="O159" s="18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8"/>
      <c r="M160" s="18"/>
      <c r="N160" s="18"/>
      <c r="O160" s="18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8"/>
      <c r="M161" s="18"/>
      <c r="N161" s="18"/>
      <c r="O161" s="18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8"/>
      <c r="M162" s="18"/>
      <c r="N162" s="18"/>
      <c r="O162" s="18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8"/>
      <c r="M163" s="18"/>
      <c r="N163" s="18"/>
      <c r="O163" s="18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8"/>
      <c r="M164" s="18"/>
      <c r="N164" s="18"/>
      <c r="O164" s="18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8"/>
      <c r="M165" s="18"/>
      <c r="N165" s="18"/>
      <c r="O165" s="18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8"/>
      <c r="M166" s="18"/>
      <c r="N166" s="18"/>
      <c r="O166" s="18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8"/>
      <c r="M167" s="18"/>
      <c r="N167" s="18"/>
      <c r="O167" s="18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8"/>
      <c r="M168" s="18"/>
      <c r="N168" s="18"/>
      <c r="O168" s="18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8"/>
      <c r="M169" s="18"/>
      <c r="N169" s="18"/>
      <c r="O169" s="18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8"/>
      <c r="M170" s="18"/>
      <c r="N170" s="18"/>
      <c r="O170" s="18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8"/>
      <c r="M171" s="18"/>
      <c r="N171" s="18"/>
      <c r="O171" s="18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8"/>
      <c r="M172" s="18"/>
      <c r="N172" s="18"/>
      <c r="O172" s="18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8"/>
      <c r="M173" s="18"/>
      <c r="N173" s="18"/>
      <c r="O173" s="18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8"/>
      <c r="M174" s="18"/>
      <c r="N174" s="18"/>
      <c r="O174" s="18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8"/>
      <c r="M175" s="18"/>
      <c r="N175" s="18"/>
      <c r="O175" s="18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8"/>
      <c r="M176" s="18"/>
      <c r="N176" s="18"/>
      <c r="O176" s="18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8"/>
      <c r="M177" s="18"/>
      <c r="N177" s="18"/>
      <c r="O177" s="18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8"/>
      <c r="M178" s="18"/>
      <c r="N178" s="18"/>
      <c r="O178" s="18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8"/>
      <c r="M179" s="18"/>
      <c r="N179" s="18"/>
      <c r="O179" s="18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8"/>
      <c r="M180" s="18"/>
      <c r="N180" s="18"/>
      <c r="O180" s="18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8"/>
      <c r="M181" s="18"/>
      <c r="N181" s="18"/>
      <c r="O181" s="18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8"/>
      <c r="M182" s="18"/>
      <c r="N182" s="18"/>
      <c r="O182" s="18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8"/>
      <c r="M183" s="18"/>
      <c r="N183" s="18"/>
      <c r="O183" s="18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8"/>
      <c r="M184" s="18"/>
      <c r="N184" s="18"/>
      <c r="O184" s="18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8"/>
      <c r="M185" s="18"/>
      <c r="N185" s="18"/>
      <c r="O185" s="18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8"/>
      <c r="M186" s="18"/>
      <c r="N186" s="18"/>
      <c r="O186" s="18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8"/>
      <c r="M187" s="18"/>
      <c r="N187" s="18"/>
      <c r="O187" s="18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8"/>
      <c r="M188" s="18"/>
      <c r="N188" s="18"/>
      <c r="O188" s="18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8"/>
      <c r="M189" s="18"/>
      <c r="N189" s="18"/>
      <c r="O189" s="18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8"/>
      <c r="M190" s="18"/>
      <c r="N190" s="18"/>
      <c r="O190" s="18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8"/>
      <c r="M191" s="18"/>
      <c r="N191" s="18"/>
      <c r="O191" s="18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8"/>
      <c r="M192" s="18"/>
      <c r="N192" s="18"/>
      <c r="O192" s="18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8"/>
      <c r="M193" s="18"/>
      <c r="N193" s="18"/>
      <c r="O193" s="18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8"/>
      <c r="M194" s="18"/>
      <c r="N194" s="18"/>
      <c r="O194" s="18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8"/>
      <c r="M195" s="18"/>
      <c r="N195" s="18"/>
      <c r="O195" s="18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8"/>
      <c r="M196" s="18"/>
      <c r="N196" s="18"/>
      <c r="O196" s="18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8"/>
      <c r="M197" s="18"/>
      <c r="N197" s="18"/>
      <c r="O197" s="18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8"/>
      <c r="M198" s="18"/>
      <c r="N198" s="18"/>
      <c r="O198" s="18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8"/>
      <c r="M199" s="18"/>
      <c r="N199" s="18"/>
      <c r="O199" s="18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8"/>
      <c r="M200" s="18"/>
      <c r="N200" s="18"/>
      <c r="O200" s="18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8"/>
      <c r="M201" s="18"/>
      <c r="N201" s="18"/>
      <c r="O201" s="18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8"/>
      <c r="M202" s="18"/>
      <c r="N202" s="18"/>
      <c r="O202" s="18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8"/>
      <c r="M203" s="18"/>
      <c r="N203" s="18"/>
      <c r="O203" s="18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8"/>
      <c r="M204" s="18"/>
      <c r="N204" s="18"/>
      <c r="O204" s="18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8"/>
      <c r="M205" s="18"/>
      <c r="N205" s="18"/>
      <c r="O205" s="18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8"/>
      <c r="M206" s="18"/>
      <c r="N206" s="18"/>
      <c r="O206" s="18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8"/>
      <c r="M207" s="18"/>
      <c r="N207" s="18"/>
      <c r="O207" s="18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8"/>
      <c r="M208" s="18"/>
      <c r="N208" s="18"/>
      <c r="O208" s="18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8"/>
      <c r="M209" s="18"/>
      <c r="N209" s="18"/>
      <c r="O209" s="18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8"/>
      <c r="M210" s="18"/>
      <c r="N210" s="18"/>
      <c r="O210" s="18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8"/>
      <c r="M211" s="18"/>
      <c r="N211" s="18"/>
      <c r="O211" s="18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8"/>
      <c r="M212" s="18"/>
      <c r="N212" s="18"/>
      <c r="O212" s="18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8"/>
      <c r="M213" s="18"/>
      <c r="N213" s="18"/>
      <c r="O213" s="18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8"/>
      <c r="M214" s="18"/>
      <c r="N214" s="18"/>
      <c r="O214" s="18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8"/>
      <c r="M215" s="18"/>
      <c r="N215" s="18"/>
      <c r="O215" s="18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8"/>
      <c r="M216" s="18"/>
      <c r="N216" s="18"/>
      <c r="O216" s="18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8"/>
      <c r="M217" s="18"/>
      <c r="N217" s="18"/>
      <c r="O217" s="18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8"/>
      <c r="M218" s="18"/>
      <c r="N218" s="18"/>
      <c r="O218" s="18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8"/>
      <c r="M219" s="18"/>
      <c r="N219" s="18"/>
      <c r="O219" s="18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8"/>
      <c r="M220" s="18"/>
      <c r="N220" s="18"/>
      <c r="O220" s="18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8"/>
      <c r="M221" s="18"/>
      <c r="N221" s="18"/>
      <c r="O221" s="18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8"/>
      <c r="M222" s="18"/>
      <c r="N222" s="18"/>
      <c r="O222" s="18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8"/>
      <c r="M223" s="18"/>
      <c r="N223" s="18"/>
      <c r="O223" s="18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8"/>
      <c r="M224" s="18"/>
      <c r="N224" s="18"/>
      <c r="O224" s="18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8"/>
      <c r="M225" s="18"/>
      <c r="N225" s="18"/>
      <c r="O225" s="18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8"/>
      <c r="M226" s="18"/>
      <c r="N226" s="18"/>
      <c r="O226" s="18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8"/>
      <c r="M227" s="18"/>
      <c r="N227" s="18"/>
      <c r="O227" s="18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8"/>
      <c r="M228" s="18"/>
      <c r="N228" s="18"/>
      <c r="O228" s="18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8"/>
      <c r="M229" s="18"/>
      <c r="N229" s="18"/>
      <c r="O229" s="18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8"/>
      <c r="M230" s="18"/>
      <c r="N230" s="18"/>
      <c r="O230" s="18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8"/>
      <c r="M231" s="18"/>
      <c r="N231" s="18"/>
      <c r="O231" s="18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8"/>
      <c r="M232" s="18"/>
      <c r="N232" s="18"/>
      <c r="O232" s="18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8"/>
      <c r="M233" s="18"/>
      <c r="N233" s="18"/>
      <c r="O233" s="18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8"/>
      <c r="M234" s="18"/>
      <c r="N234" s="18"/>
      <c r="O234" s="18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8"/>
      <c r="M235" s="18"/>
      <c r="N235" s="18"/>
      <c r="O235" s="18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8"/>
      <c r="M236" s="18"/>
      <c r="N236" s="18"/>
      <c r="O236" s="18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8"/>
      <c r="M237" s="18"/>
      <c r="N237" s="18"/>
      <c r="O237" s="18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8"/>
      <c r="M238" s="18"/>
      <c r="N238" s="18"/>
      <c r="O238" s="18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8"/>
      <c r="M239" s="18"/>
      <c r="N239" s="18"/>
      <c r="O239" s="18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8"/>
      <c r="M240" s="18"/>
      <c r="N240" s="18"/>
      <c r="O240" s="18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8"/>
      <c r="M241" s="18"/>
      <c r="N241" s="18"/>
      <c r="O241" s="18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8"/>
      <c r="M242" s="18"/>
      <c r="N242" s="18"/>
      <c r="O242" s="18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8"/>
      <c r="M243" s="18"/>
      <c r="N243" s="18"/>
      <c r="O243" s="18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8"/>
      <c r="M244" s="18"/>
      <c r="N244" s="18"/>
      <c r="O244" s="18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O$1001">
    <sortState ref="A1:O1001">
      <sortCondition ref="O1:O100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21" t="s">
        <v>11</v>
      </c>
      <c r="M1" s="21" t="s">
        <v>12</v>
      </c>
      <c r="N1" s="21" t="s">
        <v>13</v>
      </c>
      <c r="O1" s="21" t="s">
        <v>14</v>
      </c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5.75" customHeight="1">
      <c r="A2" s="16" t="s">
        <v>52</v>
      </c>
      <c r="B2" s="16" t="s">
        <v>43</v>
      </c>
      <c r="C2" s="17">
        <v>81.2429401950319</v>
      </c>
      <c r="D2" s="17">
        <v>21.09375</v>
      </c>
      <c r="E2" s="17">
        <v>18.8442211055276</v>
      </c>
      <c r="F2" s="17">
        <v>100.0</v>
      </c>
      <c r="G2" s="17">
        <v>10.1568689589605</v>
      </c>
      <c r="H2" s="17">
        <v>0.0</v>
      </c>
      <c r="I2" s="17">
        <v>7.54304454769062</v>
      </c>
      <c r="J2" s="17">
        <v>34.0534175135819</v>
      </c>
      <c r="K2" s="17">
        <v>9.34187279151943</v>
      </c>
      <c r="L2" s="22">
        <f t="shared" ref="L2:L43" si="1">(3.56*C2)+(10.32*D2)+(37.19*E2)+(0.47*F2)+(100*G2)+(47.39*H2)+(1.8*I2)+(37.48*J2)+(16.74*K2)</f>
        <v>3716.698365</v>
      </c>
      <c r="M2" s="23"/>
      <c r="N2" s="22">
        <f t="shared" ref="N2:N43" si="2">sqrt(C2^2+D2^2+E2^2+F2^2+G2^2+H2^2+I2^2+J2^2+K2^2)</f>
        <v>137.1401897</v>
      </c>
      <c r="O2" s="22">
        <f t="shared" ref="O2:O43" si="3">(L2)/(124*N2)</f>
        <v>0.2185601025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6" t="s">
        <v>50</v>
      </c>
      <c r="B3" s="16" t="s">
        <v>43</v>
      </c>
      <c r="C3" s="17">
        <v>17.8212794180129</v>
      </c>
      <c r="D3" s="17">
        <v>97.65625</v>
      </c>
      <c r="E3" s="17">
        <v>15.2010050251256</v>
      </c>
      <c r="F3" s="17">
        <v>0.0107581967213114</v>
      </c>
      <c r="G3" s="17">
        <v>9.998415465061</v>
      </c>
      <c r="H3" s="17">
        <v>41.0756113557575</v>
      </c>
      <c r="I3" s="17">
        <v>100.0</v>
      </c>
      <c r="J3" s="17">
        <v>4.19977635498203</v>
      </c>
      <c r="K3" s="17">
        <v>13.86925795053</v>
      </c>
      <c r="L3" s="22">
        <f t="shared" si="1"/>
        <v>5152.580452</v>
      </c>
      <c r="M3" s="23"/>
      <c r="N3" s="22">
        <f t="shared" si="2"/>
        <v>148.6020876</v>
      </c>
      <c r="O3" s="22">
        <f t="shared" si="3"/>
        <v>0.2796264093</v>
      </c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5.75" customHeight="1">
      <c r="A4" s="16" t="s">
        <v>72</v>
      </c>
      <c r="B4" s="16" t="s">
        <v>57</v>
      </c>
      <c r="C4" s="17">
        <v>100.0</v>
      </c>
      <c r="D4" s="17">
        <v>71.09375</v>
      </c>
      <c r="E4" s="17">
        <v>3.14070351758793</v>
      </c>
      <c r="F4" s="19">
        <v>7.90983606557377E-4</v>
      </c>
      <c r="G4" s="17">
        <v>11.8998573918554</v>
      </c>
      <c r="H4" s="17">
        <v>3.88831631218964</v>
      </c>
      <c r="I4" s="17">
        <v>4.75539764963104</v>
      </c>
      <c r="J4" s="17">
        <v>42.7666669965265</v>
      </c>
      <c r="K4" s="17">
        <v>43.2420494699646</v>
      </c>
      <c r="L4" s="24">
        <f t="shared" si="1"/>
        <v>4916.069988</v>
      </c>
      <c r="M4" s="23"/>
      <c r="N4" s="22">
        <f t="shared" si="2"/>
        <v>137.6313459</v>
      </c>
      <c r="O4" s="24">
        <f t="shared" si="3"/>
        <v>0.2880573858</v>
      </c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5.75" customHeight="1">
      <c r="A5" s="16" t="s">
        <v>69</v>
      </c>
      <c r="B5" s="16" t="s">
        <v>57</v>
      </c>
      <c r="C5" s="17">
        <v>75.646911302942</v>
      </c>
      <c r="D5" s="17">
        <v>10.9374999999999</v>
      </c>
      <c r="E5" s="17">
        <v>13.9447236180904</v>
      </c>
      <c r="F5" s="17">
        <v>0.08237705</v>
      </c>
      <c r="G5" s="17">
        <v>4.42085248</v>
      </c>
      <c r="H5" s="17">
        <v>16.771292045348</v>
      </c>
      <c r="I5" s="17">
        <v>1.09319486198414</v>
      </c>
      <c r="J5" s="17">
        <v>18.4230057494581</v>
      </c>
      <c r="K5" s="17">
        <v>8.34805653710247</v>
      </c>
      <c r="L5" s="22">
        <f t="shared" si="1"/>
        <v>2969.906244</v>
      </c>
      <c r="M5" s="23"/>
      <c r="N5" s="22">
        <f t="shared" si="2"/>
        <v>82.1441333</v>
      </c>
      <c r="O5" s="22">
        <f t="shared" si="3"/>
        <v>0.2915711182</v>
      </c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15.75" customHeight="1">
      <c r="A6" s="16" t="s">
        <v>54</v>
      </c>
      <c r="B6" s="16" t="s">
        <v>43</v>
      </c>
      <c r="C6" s="17">
        <v>99.7927396706633</v>
      </c>
      <c r="D6" s="17">
        <v>7.6171875</v>
      </c>
      <c r="E6" s="17">
        <v>0.0</v>
      </c>
      <c r="F6" s="17">
        <v>0.0158196721311475</v>
      </c>
      <c r="G6" s="17">
        <v>9.04769450166376</v>
      </c>
      <c r="H6" s="17">
        <v>5.25625409912864</v>
      </c>
      <c r="I6" s="17">
        <v>7.57037441924022</v>
      </c>
      <c r="J6" s="17">
        <v>100.0</v>
      </c>
      <c r="K6" s="17">
        <v>38.9355123674911</v>
      </c>
      <c r="L6" s="22">
        <f t="shared" si="1"/>
        <v>6001.149446</v>
      </c>
      <c r="M6" s="23"/>
      <c r="N6" s="22">
        <f t="shared" si="2"/>
        <v>147.3071158</v>
      </c>
      <c r="O6" s="22">
        <f t="shared" si="3"/>
        <v>0.3285405884</v>
      </c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5.75" customHeight="1">
      <c r="A7" s="16" t="s">
        <v>55</v>
      </c>
      <c r="B7" s="16" t="s">
        <v>43</v>
      </c>
      <c r="C7" s="17">
        <v>57.200741991979</v>
      </c>
      <c r="D7" s="17">
        <v>71.09375</v>
      </c>
      <c r="E7" s="17">
        <v>25.251256281407</v>
      </c>
      <c r="F7" s="17">
        <v>0.264344262295081</v>
      </c>
      <c r="G7" s="17">
        <v>4.08810014260814</v>
      </c>
      <c r="H7" s="17">
        <v>13.2671226459289</v>
      </c>
      <c r="I7" s="17">
        <v>35.5015031429352</v>
      </c>
      <c r="J7" s="17">
        <v>49.8391932946077</v>
      </c>
      <c r="K7" s="17">
        <v>9.56272084805653</v>
      </c>
      <c r="L7" s="22">
        <f t="shared" si="1"/>
        <v>5006.035178</v>
      </c>
      <c r="M7" s="23"/>
      <c r="N7" s="22">
        <f t="shared" si="2"/>
        <v>113.9842912</v>
      </c>
      <c r="O7" s="22">
        <f t="shared" si="3"/>
        <v>0.3541825896</v>
      </c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5.75" customHeight="1">
      <c r="A8" s="16" t="s">
        <v>71</v>
      </c>
      <c r="B8" s="16" t="s">
        <v>57</v>
      </c>
      <c r="C8" s="17">
        <v>95.0257521</v>
      </c>
      <c r="D8" s="17">
        <v>68.1640625</v>
      </c>
      <c r="E8" s="17">
        <v>14.572864321608</v>
      </c>
      <c r="F8" s="17">
        <v>0.00354508</v>
      </c>
      <c r="G8" s="17">
        <v>5.37157344319442</v>
      </c>
      <c r="H8" s="17">
        <v>24.1169305724725</v>
      </c>
      <c r="I8" s="17">
        <v>18.4476632959825</v>
      </c>
      <c r="J8" s="17">
        <v>73.66629392497</v>
      </c>
      <c r="K8" s="17">
        <v>33.303886925795</v>
      </c>
      <c r="L8" s="22">
        <f t="shared" si="1"/>
        <v>6615.495534</v>
      </c>
      <c r="M8" s="23"/>
      <c r="N8" s="22">
        <f t="shared" si="2"/>
        <v>146.202837</v>
      </c>
      <c r="O8" s="22">
        <f t="shared" si="3"/>
        <v>0.3649092695</v>
      </c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15.75" customHeight="1">
      <c r="A9" s="16" t="s">
        <v>46</v>
      </c>
      <c r="B9" s="16" t="s">
        <v>43</v>
      </c>
      <c r="C9" s="17">
        <v>71.3980745515404</v>
      </c>
      <c r="D9" s="17">
        <v>71.2890625</v>
      </c>
      <c r="E9" s="17">
        <v>20.4773869346733</v>
      </c>
      <c r="F9" s="17">
        <v>0.203483606557377</v>
      </c>
      <c r="G9" s="17">
        <v>9.36460148946284</v>
      </c>
      <c r="H9" s="17">
        <v>18.7295043567881</v>
      </c>
      <c r="I9" s="17">
        <v>3.66220278764689</v>
      </c>
      <c r="J9" s="17">
        <v>33.997011469229</v>
      </c>
      <c r="K9" s="17">
        <v>17.1819787985865</v>
      </c>
      <c r="L9" s="22">
        <f t="shared" si="1"/>
        <v>5144.007568</v>
      </c>
      <c r="M9" s="23"/>
      <c r="N9" s="22">
        <f t="shared" si="2"/>
        <v>111.8127867</v>
      </c>
      <c r="O9" s="22">
        <f t="shared" si="3"/>
        <v>0.3710124148</v>
      </c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15.75" customHeight="1">
      <c r="A10" s="16" t="s">
        <v>67</v>
      </c>
      <c r="B10" s="16" t="s">
        <v>57</v>
      </c>
      <c r="C10" s="17">
        <v>86.7353389224535</v>
      </c>
      <c r="D10" s="17">
        <v>69.3359375</v>
      </c>
      <c r="E10" s="17">
        <v>37.1859296482412</v>
      </c>
      <c r="F10" s="17">
        <v>0.0158401639344262</v>
      </c>
      <c r="G10" s="17">
        <v>7.93852004436697</v>
      </c>
      <c r="H10" s="17">
        <v>40.6352478216059</v>
      </c>
      <c r="I10" s="17">
        <v>8.44493031</v>
      </c>
      <c r="J10" s="17">
        <v>7.74939883031676</v>
      </c>
      <c r="K10" s="17">
        <v>45.5609540636042</v>
      </c>
      <c r="L10" s="22">
        <f t="shared" si="1"/>
        <v>6195.171963</v>
      </c>
      <c r="M10" s="23"/>
      <c r="N10" s="22">
        <f t="shared" si="2"/>
        <v>132.7957036</v>
      </c>
      <c r="O10" s="22">
        <f t="shared" si="3"/>
        <v>0.3762250047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15.75" customHeight="1">
      <c r="A11" s="16" t="s">
        <v>63</v>
      </c>
      <c r="B11" s="16" t="s">
        <v>57</v>
      </c>
      <c r="C11" s="17">
        <v>93.1604091318901</v>
      </c>
      <c r="D11" s="17">
        <v>58.203125</v>
      </c>
      <c r="E11" s="17">
        <v>41.7085427135678</v>
      </c>
      <c r="F11" s="17">
        <v>0.00553279</v>
      </c>
      <c r="G11" s="17">
        <v>5.24481065</v>
      </c>
      <c r="H11" s="17">
        <v>44.139417221025</v>
      </c>
      <c r="I11" s="17">
        <v>0.90188576</v>
      </c>
      <c r="J11" s="17">
        <v>19.12263861538</v>
      </c>
      <c r="K11" s="17">
        <v>41.6961130742049</v>
      </c>
      <c r="L11" s="22">
        <f t="shared" si="1"/>
        <v>6516.03148</v>
      </c>
      <c r="M11" s="23"/>
      <c r="N11" s="22">
        <f t="shared" si="2"/>
        <v>133.7419863</v>
      </c>
      <c r="O11" s="22">
        <f t="shared" si="3"/>
        <v>0.3929105767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15.75" customHeight="1">
      <c r="A12" s="16" t="s">
        <v>61</v>
      </c>
      <c r="B12" s="16" t="s">
        <v>57</v>
      </c>
      <c r="C12" s="17">
        <v>83.4191736530669</v>
      </c>
      <c r="D12" s="17">
        <v>30.859375</v>
      </c>
      <c r="E12" s="17">
        <v>13.4422110552763</v>
      </c>
      <c r="F12" s="17">
        <v>0.0</v>
      </c>
      <c r="G12" s="17">
        <v>2.69370939629218</v>
      </c>
      <c r="H12" s="17">
        <v>45.4417689496861</v>
      </c>
      <c r="I12" s="17">
        <v>2.48701831101393</v>
      </c>
      <c r="J12" s="17">
        <v>53.6926167456681</v>
      </c>
      <c r="K12" s="17">
        <v>8.12720848056537</v>
      </c>
      <c r="L12" s="22">
        <f t="shared" si="1"/>
        <v>5691.138586</v>
      </c>
      <c r="M12" s="23"/>
      <c r="N12" s="22">
        <f t="shared" si="2"/>
        <v>114.5386262</v>
      </c>
      <c r="O12" s="22">
        <f t="shared" si="3"/>
        <v>0.400705687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15.75" customHeight="1">
      <c r="A13" s="16" t="s">
        <v>60</v>
      </c>
      <c r="B13" s="16" t="s">
        <v>57</v>
      </c>
      <c r="C13" s="17">
        <v>80.5175290423536</v>
      </c>
      <c r="D13" s="17">
        <v>0.0</v>
      </c>
      <c r="E13" s="17">
        <v>28.1407035175879</v>
      </c>
      <c r="F13" s="17">
        <v>0.01151639</v>
      </c>
      <c r="G13" s="17">
        <v>8.25542703</v>
      </c>
      <c r="H13" s="17">
        <v>66.0920079</v>
      </c>
      <c r="I13" s="17">
        <v>1.25717409128177</v>
      </c>
      <c r="J13" s="17">
        <v>0.0</v>
      </c>
      <c r="K13" s="17">
        <v>12.6545936395759</v>
      </c>
      <c r="L13" s="22">
        <f t="shared" si="1"/>
        <v>5504.944348</v>
      </c>
      <c r="M13" s="23"/>
      <c r="N13" s="22">
        <f t="shared" si="2"/>
        <v>108.9632811</v>
      </c>
      <c r="O13" s="22">
        <f t="shared" si="3"/>
        <v>0.407428191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5.75" customHeight="1">
      <c r="A14" s="16" t="s">
        <v>66</v>
      </c>
      <c r="B14" s="16" t="s">
        <v>57</v>
      </c>
      <c r="C14" s="17">
        <v>91.1914360031918</v>
      </c>
      <c r="D14" s="17">
        <v>50.9765625</v>
      </c>
      <c r="E14" s="17">
        <v>19.3467336683417</v>
      </c>
      <c r="F14" s="17">
        <v>0.0</v>
      </c>
      <c r="G14" s="17">
        <v>7.62161305656789</v>
      </c>
      <c r="H14" s="17">
        <v>47.1751147756019</v>
      </c>
      <c r="I14" s="17">
        <v>2.65099754031155</v>
      </c>
      <c r="J14" s="17">
        <v>43.7819757948799</v>
      </c>
      <c r="K14" s="17">
        <v>46.6651943462897</v>
      </c>
      <c r="L14" s="22">
        <f t="shared" si="1"/>
        <v>6994.910259</v>
      </c>
      <c r="M14" s="23"/>
      <c r="N14" s="22">
        <f t="shared" si="2"/>
        <v>132.9431985</v>
      </c>
      <c r="O14" s="22">
        <f t="shared" si="3"/>
        <v>0.4243208171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5.75" customHeight="1">
      <c r="A15" s="16" t="s">
        <v>62</v>
      </c>
      <c r="B15" s="16" t="s">
        <v>57</v>
      </c>
      <c r="C15" s="17">
        <v>71.0871840575354</v>
      </c>
      <c r="D15" s="17">
        <v>49.8046875</v>
      </c>
      <c r="E15" s="17">
        <v>32.286432160804</v>
      </c>
      <c r="F15" s="19">
        <v>4.77459016393442E-4</v>
      </c>
      <c r="G15" s="17">
        <v>0.23768024084931</v>
      </c>
      <c r="H15" s="17">
        <v>50.9978450295137</v>
      </c>
      <c r="I15" s="17">
        <v>2.54167805411314</v>
      </c>
      <c r="J15" s="17">
        <v>34.1454484</v>
      </c>
      <c r="K15" s="17">
        <v>37.7208480565371</v>
      </c>
      <c r="L15" s="24">
        <f t="shared" si="1"/>
        <v>6324.13671</v>
      </c>
      <c r="M15" s="23"/>
      <c r="N15" s="22">
        <f t="shared" si="2"/>
        <v>117.3557803</v>
      </c>
      <c r="O15" s="24">
        <f t="shared" si="3"/>
        <v>0.4345853468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5.75" customHeight="1">
      <c r="A16" s="16" t="s">
        <v>48</v>
      </c>
      <c r="B16" s="16" t="s">
        <v>43</v>
      </c>
      <c r="C16" s="17">
        <v>71.3980745515404</v>
      </c>
      <c r="D16" s="17">
        <v>67.3828125</v>
      </c>
      <c r="E16" s="17">
        <v>26.0050251256281</v>
      </c>
      <c r="F16" s="17">
        <v>0.0105942622950819</v>
      </c>
      <c r="G16" s="17">
        <v>9.04769450166376</v>
      </c>
      <c r="H16" s="17">
        <v>35.0604328679846</v>
      </c>
      <c r="I16" s="17">
        <v>14.3755124350915</v>
      </c>
      <c r="J16" s="17">
        <v>63.5933618992014</v>
      </c>
      <c r="K16" s="17">
        <v>21.2676678445229</v>
      </c>
      <c r="L16" s="22">
        <f t="shared" si="1"/>
        <v>7248.358884</v>
      </c>
      <c r="M16" s="23"/>
      <c r="N16" s="22">
        <f t="shared" si="2"/>
        <v>127.7832907</v>
      </c>
      <c r="O16" s="22">
        <f t="shared" si="3"/>
        <v>0.4574503194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75" customHeight="1">
      <c r="A17" s="16" t="s">
        <v>70</v>
      </c>
      <c r="B17" s="16" t="s">
        <v>57</v>
      </c>
      <c r="C17" s="17">
        <v>62.0713597313906</v>
      </c>
      <c r="D17" s="17">
        <v>57.6171875</v>
      </c>
      <c r="E17" s="17">
        <v>27.7638190954773</v>
      </c>
      <c r="F17" s="19">
        <v>0.0</v>
      </c>
      <c r="G17" s="17">
        <v>6.29060370781175</v>
      </c>
      <c r="H17" s="17">
        <v>62.9532465098847</v>
      </c>
      <c r="I17" s="17">
        <v>0.327958458595244</v>
      </c>
      <c r="J17" s="17">
        <v>20.1250829</v>
      </c>
      <c r="K17" s="17">
        <v>51.3030035335689</v>
      </c>
      <c r="L17" s="24">
        <f t="shared" si="1"/>
        <v>7074.225282</v>
      </c>
      <c r="M17" s="23"/>
      <c r="N17" s="22">
        <f t="shared" si="2"/>
        <v>122.40601</v>
      </c>
      <c r="O17" s="24">
        <f t="shared" si="3"/>
        <v>0.4660735523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5.75" customHeight="1">
      <c r="A18" s="16" t="s">
        <v>56</v>
      </c>
      <c r="B18" s="16" t="s">
        <v>57</v>
      </c>
      <c r="C18" s="17">
        <v>78.3412955843186</v>
      </c>
      <c r="D18" s="17">
        <v>93.5546875</v>
      </c>
      <c r="E18" s="17">
        <v>25.251256281407</v>
      </c>
      <c r="F18" s="17">
        <v>0.0014918</v>
      </c>
      <c r="G18" s="17">
        <v>7.93852004436697</v>
      </c>
      <c r="H18" s="17">
        <v>79.9962522252412</v>
      </c>
      <c r="I18" s="17">
        <v>7.67969390543864</v>
      </c>
      <c r="J18" s="17">
        <v>63.6111743342602</v>
      </c>
      <c r="K18" s="17">
        <v>14.8630742049469</v>
      </c>
      <c r="L18" s="22">
        <f t="shared" si="1"/>
        <v>9415.126832</v>
      </c>
      <c r="M18" s="23"/>
      <c r="N18" s="22">
        <f t="shared" si="2"/>
        <v>162.2225469</v>
      </c>
      <c r="O18" s="22">
        <f t="shared" si="3"/>
        <v>0.468051104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5.75" customHeight="1">
      <c r="A19" s="16" t="s">
        <v>85</v>
      </c>
      <c r="B19" s="17">
        <v>1989.0</v>
      </c>
      <c r="C19" s="17">
        <v>24.8681306154595</v>
      </c>
      <c r="D19" s="17">
        <v>100.0</v>
      </c>
      <c r="E19" s="17">
        <v>28.0150753768844</v>
      </c>
      <c r="F19" s="17">
        <v>0.0</v>
      </c>
      <c r="G19" s="17">
        <v>8.73078751386468</v>
      </c>
      <c r="H19" s="17">
        <v>72.2289890377588</v>
      </c>
      <c r="I19" s="17">
        <v>2.9516261273572</v>
      </c>
      <c r="J19" s="17">
        <v>28.0832830296972</v>
      </c>
      <c r="K19" s="17">
        <v>20.1634275618374</v>
      </c>
      <c r="L19" s="22">
        <f t="shared" si="1"/>
        <v>7853.831893</v>
      </c>
      <c r="M19" s="23"/>
      <c r="N19" s="22">
        <f t="shared" si="2"/>
        <v>133.7926327</v>
      </c>
      <c r="O19" s="22">
        <f t="shared" si="3"/>
        <v>0.4733994143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15.75" customHeight="1">
      <c r="A20" s="16" t="s">
        <v>64</v>
      </c>
      <c r="B20" s="16" t="s">
        <v>57</v>
      </c>
      <c r="C20" s="17">
        <v>55.646289521954</v>
      </c>
      <c r="D20" s="17">
        <v>45.703125</v>
      </c>
      <c r="E20" s="17">
        <v>58.6683417085427</v>
      </c>
      <c r="F20" s="17">
        <v>0.0149180327868852</v>
      </c>
      <c r="G20" s="17">
        <v>5.4824908889241</v>
      </c>
      <c r="H20" s="17">
        <v>58.7651082169961</v>
      </c>
      <c r="I20" s="17">
        <v>2.45968843946433</v>
      </c>
      <c r="J20" s="17">
        <v>14.1856253649075</v>
      </c>
      <c r="K20" s="17">
        <v>40.3710247349823</v>
      </c>
      <c r="L20" s="22">
        <f t="shared" si="1"/>
        <v>7396.68288</v>
      </c>
      <c r="M20" s="23"/>
      <c r="N20" s="22">
        <f t="shared" si="2"/>
        <v>118.1006225</v>
      </c>
      <c r="O20" s="22">
        <f t="shared" si="3"/>
        <v>0.5050834375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A21" s="16" t="s">
        <v>42</v>
      </c>
      <c r="B21" s="16" t="s">
        <v>43</v>
      </c>
      <c r="C21" s="17">
        <v>26.6298434148211</v>
      </c>
      <c r="D21" s="17">
        <v>84.9609375</v>
      </c>
      <c r="E21" s="17">
        <v>35.1758793969849</v>
      </c>
      <c r="F21" s="17">
        <v>0.117418032786885</v>
      </c>
      <c r="G21" s="17">
        <v>15.7027412454444</v>
      </c>
      <c r="H21" s="17">
        <v>46.7628595521409</v>
      </c>
      <c r="I21" s="17">
        <v>15.2773981962284</v>
      </c>
      <c r="J21" s="17">
        <v>21.1601832701651</v>
      </c>
      <c r="K21" s="17">
        <v>6.64752650176678</v>
      </c>
      <c r="L21" s="22">
        <f t="shared" si="1"/>
        <v>6998.073877</v>
      </c>
      <c r="M21" s="23"/>
      <c r="N21" s="22">
        <f t="shared" si="2"/>
        <v>111.0114801</v>
      </c>
      <c r="O21" s="22">
        <f t="shared" si="3"/>
        <v>0.5083805711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15.75" customHeight="1">
      <c r="A22" s="16" t="s">
        <v>47</v>
      </c>
      <c r="B22" s="16" t="s">
        <v>43</v>
      </c>
      <c r="C22" s="17">
        <v>41.4489569623926</v>
      </c>
      <c r="D22" s="17">
        <v>77.7343749999999</v>
      </c>
      <c r="E22" s="17">
        <v>30.1507537688442</v>
      </c>
      <c r="F22" s="17">
        <v>0.00106557</v>
      </c>
      <c r="G22" s="17">
        <v>10.6322294406591</v>
      </c>
      <c r="H22" s="17">
        <v>48.6367469315094</v>
      </c>
      <c r="I22" s="17">
        <v>11.3418966930855</v>
      </c>
      <c r="J22" s="17">
        <v>43.975933421076</v>
      </c>
      <c r="K22" s="17">
        <v>37.8312720848056</v>
      </c>
      <c r="L22" s="22">
        <f t="shared" si="1"/>
        <v>7741.131345</v>
      </c>
      <c r="M22" s="23"/>
      <c r="N22" s="22">
        <f t="shared" si="2"/>
        <v>121.0042189</v>
      </c>
      <c r="O22" s="22">
        <f t="shared" si="3"/>
        <v>0.5159198511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A23" s="16" t="s">
        <v>44</v>
      </c>
      <c r="B23" s="16" t="s">
        <v>43</v>
      </c>
      <c r="C23" s="17">
        <v>5.83126936588702</v>
      </c>
      <c r="D23" s="17">
        <v>66.2109375</v>
      </c>
      <c r="E23" s="17">
        <v>30.4020100502512</v>
      </c>
      <c r="F23" s="19">
        <v>2.11065573770491E-4</v>
      </c>
      <c r="G23" s="17">
        <v>6.82934558707019</v>
      </c>
      <c r="H23" s="17">
        <v>67.3287735</v>
      </c>
      <c r="I23" s="17">
        <v>8.82754851052199</v>
      </c>
      <c r="J23" s="17">
        <v>32.1346224258557</v>
      </c>
      <c r="K23" s="17">
        <v>0.0</v>
      </c>
      <c r="L23" s="24">
        <f t="shared" si="1"/>
        <v>6928.647418</v>
      </c>
      <c r="M23" s="23"/>
      <c r="N23" s="22">
        <f t="shared" si="2"/>
        <v>105.0358864</v>
      </c>
      <c r="O23" s="24">
        <f t="shared" si="3"/>
        <v>0.5319723645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5.75" customHeight="1">
      <c r="A24" s="16" t="s">
        <v>83</v>
      </c>
      <c r="B24" s="17">
        <v>1989.0</v>
      </c>
      <c r="C24" s="17">
        <v>65.6984154947822</v>
      </c>
      <c r="D24" s="17">
        <v>34.5703125</v>
      </c>
      <c r="E24" s="17">
        <v>38.0653266331658</v>
      </c>
      <c r="F24" s="17">
        <v>0.0</v>
      </c>
      <c r="G24" s="17">
        <v>6.82934558707019</v>
      </c>
      <c r="H24" s="17">
        <v>62.8876604516068</v>
      </c>
      <c r="I24" s="17">
        <v>2.51434818256354</v>
      </c>
      <c r="J24" s="17">
        <v>67.673399107399</v>
      </c>
      <c r="K24" s="17">
        <v>5.01325088339222</v>
      </c>
      <c r="L24" s="22">
        <f t="shared" si="1"/>
        <v>8294.328914</v>
      </c>
      <c r="M24" s="23"/>
      <c r="N24" s="22">
        <f t="shared" si="2"/>
        <v>124.7918217</v>
      </c>
      <c r="O24" s="22">
        <f t="shared" si="3"/>
        <v>0.5360106806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A25" s="16" t="s">
        <v>82</v>
      </c>
      <c r="B25" s="17">
        <v>1989.0</v>
      </c>
      <c r="C25" s="17">
        <v>0.370995989512627</v>
      </c>
      <c r="D25" s="17">
        <v>91.015625</v>
      </c>
      <c r="E25" s="17">
        <v>63.3165829145728</v>
      </c>
      <c r="F25" s="17">
        <v>0.977459016393442</v>
      </c>
      <c r="G25" s="17">
        <v>5.32403739502455</v>
      </c>
      <c r="H25" s="17">
        <v>87.5480183640963</v>
      </c>
      <c r="I25" s="17">
        <v>6.91445750204973</v>
      </c>
      <c r="J25" s="17">
        <v>43.923485695625</v>
      </c>
      <c r="K25" s="17">
        <v>53.732332155477</v>
      </c>
      <c r="L25" s="22">
        <f t="shared" si="1"/>
        <v>10535.28696</v>
      </c>
      <c r="M25" s="23"/>
      <c r="N25" s="22">
        <f t="shared" si="2"/>
        <v>157.6425497</v>
      </c>
      <c r="O25" s="22">
        <f t="shared" si="3"/>
        <v>0.538953422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16" t="s">
        <v>74</v>
      </c>
      <c r="B26" s="17">
        <v>1989.0</v>
      </c>
      <c r="C26" s="17">
        <v>8.70182493</v>
      </c>
      <c r="D26" s="17">
        <v>88.8671875</v>
      </c>
      <c r="E26" s="17">
        <v>65.5778894472361</v>
      </c>
      <c r="F26" s="19">
        <v>3.36065573770491E-4</v>
      </c>
      <c r="G26" s="17">
        <v>11.4244969101568</v>
      </c>
      <c r="H26" s="17">
        <v>94.2471657453387</v>
      </c>
      <c r="I26" s="17">
        <v>11.0139382344902</v>
      </c>
      <c r="J26" s="17">
        <v>20.1913847189098</v>
      </c>
      <c r="K26" s="17">
        <v>60.2473498233215</v>
      </c>
      <c r="L26" s="24">
        <f t="shared" si="1"/>
        <v>10780.89144</v>
      </c>
      <c r="M26" s="23"/>
      <c r="N26" s="22">
        <f t="shared" si="2"/>
        <v>159.5159796</v>
      </c>
      <c r="O26" s="24">
        <f t="shared" si="3"/>
        <v>0.5450405226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16" t="s">
        <v>51</v>
      </c>
      <c r="B27" s="16" t="s">
        <v>43</v>
      </c>
      <c r="C27" s="17">
        <v>6.29760510689451</v>
      </c>
      <c r="D27" s="17">
        <v>77.7343749999999</v>
      </c>
      <c r="E27" s="17">
        <v>50.6281407</v>
      </c>
      <c r="F27" s="17">
        <v>0.0114344262295081</v>
      </c>
      <c r="G27" s="17">
        <v>4.88036761210584</v>
      </c>
      <c r="H27" s="17">
        <v>58.9337580811393</v>
      </c>
      <c r="I27" s="17">
        <v>12.3531019404208</v>
      </c>
      <c r="J27" s="17">
        <v>87.4758789941911</v>
      </c>
      <c r="K27" s="17">
        <v>43.6837455830388</v>
      </c>
      <c r="L27" s="22">
        <f t="shared" si="1"/>
        <v>10020.50914</v>
      </c>
      <c r="M27" s="23"/>
      <c r="N27" s="22">
        <f t="shared" si="2"/>
        <v>147.8357387</v>
      </c>
      <c r="O27" s="22">
        <f t="shared" si="3"/>
        <v>0.5466239643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16" t="s">
        <v>59</v>
      </c>
      <c r="B28" s="16" t="s">
        <v>57</v>
      </c>
      <c r="C28" s="17">
        <v>48.2885478305025</v>
      </c>
      <c r="D28" s="17">
        <v>75.78125</v>
      </c>
      <c r="E28" s="17">
        <v>63.5678392</v>
      </c>
      <c r="F28" s="17">
        <v>0.471311475409836</v>
      </c>
      <c r="G28" s="17">
        <v>8.09697354</v>
      </c>
      <c r="H28" s="17">
        <v>65.3518223554764</v>
      </c>
      <c r="I28" s="17">
        <v>4.70073790653184</v>
      </c>
      <c r="J28" s="17">
        <v>71.566405747479</v>
      </c>
      <c r="K28" s="17">
        <v>73.8295053003533</v>
      </c>
      <c r="L28" s="22">
        <f t="shared" si="1"/>
        <v>11151.67554</v>
      </c>
      <c r="M28" s="23"/>
      <c r="N28" s="22">
        <f t="shared" si="2"/>
        <v>164.4589277</v>
      </c>
      <c r="O28" s="22">
        <f t="shared" si="3"/>
        <v>0.546840895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customHeight="1">
      <c r="A29" s="16" t="s">
        <v>68</v>
      </c>
      <c r="B29" s="16" t="s">
        <v>57</v>
      </c>
      <c r="C29" s="17">
        <v>67.7710187881488</v>
      </c>
      <c r="D29" s="17">
        <v>57.421875</v>
      </c>
      <c r="E29" s="17">
        <v>68.21608040201</v>
      </c>
      <c r="F29" s="17">
        <v>0.00344262</v>
      </c>
      <c r="G29" s="17">
        <v>8.88924100776422</v>
      </c>
      <c r="H29" s="17">
        <v>60.7607982760236</v>
      </c>
      <c r="I29" s="17">
        <v>6.28587045640885</v>
      </c>
      <c r="J29" s="17">
        <v>65.6229899161825</v>
      </c>
      <c r="K29" s="17">
        <v>51.7446996466431</v>
      </c>
      <c r="L29" s="22">
        <f t="shared" si="1"/>
        <v>10476.26506</v>
      </c>
      <c r="M29" s="23"/>
      <c r="N29" s="22">
        <f t="shared" si="2"/>
        <v>152.7675112</v>
      </c>
      <c r="O29" s="22">
        <f t="shared" si="3"/>
        <v>0.5530364922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5.75" customHeight="1">
      <c r="A30" s="16" t="s">
        <v>77</v>
      </c>
      <c r="B30" s="17">
        <v>1989.0</v>
      </c>
      <c r="C30" s="17">
        <v>0.09637605</v>
      </c>
      <c r="D30" s="17">
        <v>59.375</v>
      </c>
      <c r="E30" s="17">
        <v>72.8643216</v>
      </c>
      <c r="F30" s="17">
        <v>0.00936475</v>
      </c>
      <c r="G30" s="17">
        <v>7.46315956266835</v>
      </c>
      <c r="H30" s="17">
        <v>90.9022767731659</v>
      </c>
      <c r="I30" s="17">
        <v>2.65099754031155</v>
      </c>
      <c r="J30" s="17">
        <v>21.1443499945573</v>
      </c>
      <c r="K30" s="17">
        <v>47.8798586572438</v>
      </c>
      <c r="L30" s="22">
        <f t="shared" si="1"/>
        <v>9975.86734</v>
      </c>
      <c r="M30" s="23"/>
      <c r="N30" s="22">
        <f t="shared" si="2"/>
        <v>141.0678001</v>
      </c>
      <c r="O30" s="22">
        <f t="shared" si="3"/>
        <v>0.5702969991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5.75" customHeight="1">
      <c r="A31" s="16" t="s">
        <v>75</v>
      </c>
      <c r="B31" s="17">
        <v>1989.0</v>
      </c>
      <c r="C31" s="17">
        <v>0.155445247002497</v>
      </c>
      <c r="D31" s="17">
        <v>58.59375</v>
      </c>
      <c r="E31" s="17">
        <v>79.145728643216</v>
      </c>
      <c r="F31" s="17">
        <v>0.327868852459016</v>
      </c>
      <c r="G31" s="17">
        <v>9.36460148946284</v>
      </c>
      <c r="H31" s="17">
        <v>92.8323808</v>
      </c>
      <c r="I31" s="17">
        <v>3.88084176004372</v>
      </c>
      <c r="J31" s="17">
        <v>19.2146695298506</v>
      </c>
      <c r="K31" s="17">
        <v>46.2234982332155</v>
      </c>
      <c r="L31" s="22">
        <f t="shared" si="1"/>
        <v>10385.544</v>
      </c>
      <c r="M31" s="23"/>
      <c r="N31" s="22">
        <f t="shared" si="2"/>
        <v>144.650712</v>
      </c>
      <c r="O31" s="22">
        <f t="shared" si="3"/>
        <v>0.5790112325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5.75" customHeight="1">
      <c r="A32" s="16" t="s">
        <v>79</v>
      </c>
      <c r="B32" s="17">
        <v>1989.0</v>
      </c>
      <c r="C32" s="17">
        <v>1.55134356508492</v>
      </c>
      <c r="D32" s="17">
        <v>68.359375</v>
      </c>
      <c r="E32" s="17">
        <v>93.21608040201</v>
      </c>
      <c r="F32" s="17">
        <v>0.0203073770491803</v>
      </c>
      <c r="G32" s="17">
        <v>8.09697354</v>
      </c>
      <c r="H32" s="17">
        <v>89.16893094725</v>
      </c>
      <c r="I32" s="17">
        <v>7.43372506</v>
      </c>
      <c r="J32" s="17">
        <v>41.9759927958595</v>
      </c>
      <c r="K32" s="17">
        <v>51.3030035335689</v>
      </c>
      <c r="L32" s="22">
        <f t="shared" si="1"/>
        <v>11658.57329</v>
      </c>
      <c r="M32" s="23"/>
      <c r="N32" s="22">
        <f t="shared" si="2"/>
        <v>160.7188555</v>
      </c>
      <c r="O32" s="22">
        <f t="shared" si="3"/>
        <v>0.5850013807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5.75" customHeight="1">
      <c r="A33" s="16" t="s">
        <v>45</v>
      </c>
      <c r="B33" s="16" t="s">
        <v>43</v>
      </c>
      <c r="C33" s="17">
        <v>13.3651823372747</v>
      </c>
      <c r="D33" s="17">
        <v>66.2109375</v>
      </c>
      <c r="E33" s="17">
        <v>61.180904522613</v>
      </c>
      <c r="F33" s="19">
        <v>3.68852459016393E-4</v>
      </c>
      <c r="G33" s="17">
        <v>13.3259388369513</v>
      </c>
      <c r="H33" s="17">
        <v>83.4723133139698</v>
      </c>
      <c r="I33" s="17">
        <v>7.59770429078983</v>
      </c>
      <c r="J33" s="17">
        <v>21.1829436038514</v>
      </c>
      <c r="K33" s="17">
        <v>54.7261484</v>
      </c>
      <c r="L33" s="24">
        <f t="shared" si="1"/>
        <v>10018.27007</v>
      </c>
      <c r="M33" s="23"/>
      <c r="N33" s="22">
        <f t="shared" si="2"/>
        <v>137.6670646</v>
      </c>
      <c r="O33" s="24">
        <f t="shared" si="3"/>
        <v>0.5868687674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15.75" customHeight="1">
      <c r="A34" s="16" t="s">
        <v>78</v>
      </c>
      <c r="B34" s="17">
        <v>1989.0</v>
      </c>
      <c r="C34" s="17">
        <v>5.70691316828502</v>
      </c>
      <c r="D34" s="17">
        <v>68.1640625</v>
      </c>
      <c r="E34" s="17">
        <v>79.0201005025125</v>
      </c>
      <c r="F34" s="17">
        <v>0.0</v>
      </c>
      <c r="G34" s="17">
        <v>14.2766598003485</v>
      </c>
      <c r="H34" s="17">
        <v>94.3127518</v>
      </c>
      <c r="I34" s="17">
        <v>38.5077890133916</v>
      </c>
      <c r="J34" s="17">
        <v>83.5333933678366</v>
      </c>
      <c r="K34" s="17">
        <v>100.0</v>
      </c>
      <c r="L34" s="22">
        <f t="shared" si="1"/>
        <v>14433.82017</v>
      </c>
      <c r="M34" s="23"/>
      <c r="N34" s="22">
        <f t="shared" si="2"/>
        <v>196.1695194</v>
      </c>
      <c r="O34" s="22">
        <f t="shared" si="3"/>
        <v>0.5933734041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5.75" customHeight="1">
      <c r="A35" s="16" t="s">
        <v>81</v>
      </c>
      <c r="B35" s="17">
        <v>1989.0</v>
      </c>
      <c r="C35" s="17">
        <v>7.16809849</v>
      </c>
      <c r="D35" s="17">
        <v>50.0</v>
      </c>
      <c r="E35" s="17">
        <v>64.0703517587939</v>
      </c>
      <c r="F35" s="17">
        <v>1.21516393442622</v>
      </c>
      <c r="G35" s="17">
        <v>7.62161305656789</v>
      </c>
      <c r="H35" s="17">
        <v>75.573878</v>
      </c>
      <c r="I35" s="17">
        <v>13.8289150040994</v>
      </c>
      <c r="J35" s="17">
        <v>63.7823716267701</v>
      </c>
      <c r="K35" s="17">
        <v>47.9902826855123</v>
      </c>
      <c r="L35" s="22">
        <f t="shared" si="1"/>
        <v>10487.28599</v>
      </c>
      <c r="M35" s="23"/>
      <c r="N35" s="22">
        <f t="shared" si="2"/>
        <v>137.8037202</v>
      </c>
      <c r="O35" s="22">
        <f t="shared" si="3"/>
        <v>0.6137344252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5.75" customHeight="1">
      <c r="A36" s="16" t="s">
        <v>80</v>
      </c>
      <c r="B36" s="17">
        <v>1989.0</v>
      </c>
      <c r="C36" s="17">
        <v>8.9194482730033</v>
      </c>
      <c r="D36" s="17">
        <v>68.75</v>
      </c>
      <c r="E36" s="17">
        <v>81.1557788944723</v>
      </c>
      <c r="F36" s="17">
        <v>0.00134016</v>
      </c>
      <c r="G36" s="17">
        <v>14.2766598003485</v>
      </c>
      <c r="H36" s="17">
        <v>87.7541459758268</v>
      </c>
      <c r="I36" s="17">
        <v>42.8805684613282</v>
      </c>
      <c r="J36" s="17">
        <v>93.5588255667817</v>
      </c>
      <c r="K36" s="17">
        <v>28.4452297</v>
      </c>
      <c r="L36" s="22">
        <f t="shared" si="1"/>
        <v>13405.71519</v>
      </c>
      <c r="M36" s="23"/>
      <c r="N36" s="22">
        <f t="shared" si="2"/>
        <v>175.2087919</v>
      </c>
      <c r="O36" s="22">
        <f t="shared" si="3"/>
        <v>0.617038707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5.75" customHeight="1">
      <c r="A37" s="16" t="s">
        <v>49</v>
      </c>
      <c r="B37" s="16" t="s">
        <v>43</v>
      </c>
      <c r="C37" s="17">
        <v>20.6192938640579</v>
      </c>
      <c r="D37" s="17">
        <v>88.4765625</v>
      </c>
      <c r="E37" s="17">
        <v>43.467336683417</v>
      </c>
      <c r="F37" s="17">
        <v>0.0</v>
      </c>
      <c r="G37" s="17">
        <v>37.7277768974805</v>
      </c>
      <c r="H37" s="17">
        <v>62.934507636091</v>
      </c>
      <c r="I37" s="17">
        <v>39.0543864443837</v>
      </c>
      <c r="J37" s="17">
        <v>32.9935776275815</v>
      </c>
      <c r="K37" s="17">
        <v>7.57508833922261</v>
      </c>
      <c r="L37" s="22">
        <f t="shared" si="1"/>
        <v>10791.98123</v>
      </c>
      <c r="M37" s="23"/>
      <c r="N37" s="22">
        <f t="shared" si="2"/>
        <v>134.8999903</v>
      </c>
      <c r="O37" s="22">
        <f t="shared" si="3"/>
        <v>0.6451602149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5.75" customHeight="1">
      <c r="A38" s="16" t="s">
        <v>65</v>
      </c>
      <c r="B38" s="16" t="s">
        <v>57</v>
      </c>
      <c r="C38" s="17">
        <v>32.4331326362477</v>
      </c>
      <c r="D38" s="17">
        <v>42.3828125</v>
      </c>
      <c r="E38" s="17">
        <v>40.2010050251256</v>
      </c>
      <c r="F38" s="17">
        <v>0.00971311</v>
      </c>
      <c r="G38" s="17">
        <v>17.921090160038</v>
      </c>
      <c r="H38" s="17">
        <v>52.8155157875011</v>
      </c>
      <c r="I38" s="17">
        <v>2.37769882481552</v>
      </c>
      <c r="J38" s="17">
        <v>59.6558241714743</v>
      </c>
      <c r="K38" s="17">
        <v>41.3648409893992</v>
      </c>
      <c r="L38" s="22">
        <f t="shared" si="1"/>
        <v>9275.596414</v>
      </c>
      <c r="M38" s="23"/>
      <c r="N38" s="22">
        <f t="shared" si="2"/>
        <v>113.360032</v>
      </c>
      <c r="O38" s="22">
        <f t="shared" si="3"/>
        <v>0.6598727576</v>
      </c>
      <c r="P38" s="12">
        <v>6.0</v>
      </c>
      <c r="Q38" s="12"/>
      <c r="R38" s="12"/>
      <c r="S38" s="12"/>
      <c r="T38" s="12"/>
      <c r="U38" s="12"/>
      <c r="V38" s="12"/>
      <c r="W38" s="12"/>
      <c r="X38" s="12"/>
      <c r="Y38" s="12"/>
    </row>
    <row r="39" ht="15.75" customHeight="1">
      <c r="A39" s="16" t="s">
        <v>58</v>
      </c>
      <c r="B39" s="16" t="s">
        <v>57</v>
      </c>
      <c r="C39" s="17">
        <v>55.5426593572857</v>
      </c>
      <c r="D39" s="17">
        <v>61.5234375</v>
      </c>
      <c r="E39" s="17">
        <v>53.3919597989949</v>
      </c>
      <c r="F39" s="17">
        <v>0.07069672</v>
      </c>
      <c r="G39" s="17">
        <v>30.4389161781017</v>
      </c>
      <c r="H39" s="17">
        <v>64.5741590930385</v>
      </c>
      <c r="I39" s="17">
        <v>5.00136649</v>
      </c>
      <c r="J39" s="17">
        <v>53.8638140381779</v>
      </c>
      <c r="K39" s="17">
        <v>56.7137809187279</v>
      </c>
      <c r="L39" s="22">
        <f t="shared" si="1"/>
        <v>11899.60187</v>
      </c>
      <c r="M39" s="23"/>
      <c r="N39" s="22">
        <f t="shared" si="2"/>
        <v>144.7755278</v>
      </c>
      <c r="O39" s="22">
        <f t="shared" si="3"/>
        <v>0.6628505017</v>
      </c>
      <c r="P39" s="12">
        <v>5.0</v>
      </c>
      <c r="Q39" s="12"/>
      <c r="R39" s="12"/>
      <c r="S39" s="12"/>
      <c r="T39" s="12"/>
      <c r="U39" s="12"/>
      <c r="V39" s="12"/>
      <c r="W39" s="12"/>
      <c r="X39" s="12"/>
      <c r="Y39" s="12"/>
    </row>
    <row r="40" ht="15.75" customHeight="1">
      <c r="A40" s="16" t="s">
        <v>73</v>
      </c>
      <c r="B40" s="17">
        <v>1989.0</v>
      </c>
      <c r="C40" s="17">
        <v>3.83120718778822</v>
      </c>
      <c r="D40" s="17">
        <v>96.6796875</v>
      </c>
      <c r="E40" s="17">
        <v>60.0502512562814</v>
      </c>
      <c r="F40" s="19">
        <v>3.60655737704918E-4</v>
      </c>
      <c r="G40" s="17">
        <v>38.9954048486769</v>
      </c>
      <c r="H40" s="17">
        <v>100.0</v>
      </c>
      <c r="I40" s="17">
        <v>2.2683793386171</v>
      </c>
      <c r="J40" s="17">
        <v>40.9903713892709</v>
      </c>
      <c r="K40" s="17">
        <v>63.7809187279151</v>
      </c>
      <c r="L40" s="24">
        <f t="shared" si="1"/>
        <v>14491.27775</v>
      </c>
      <c r="M40" s="23"/>
      <c r="N40" s="22">
        <f t="shared" si="2"/>
        <v>173.9013401</v>
      </c>
      <c r="O40" s="24">
        <f t="shared" si="3"/>
        <v>0.6720197965</v>
      </c>
      <c r="P40" s="12">
        <v>4.0</v>
      </c>
      <c r="Q40" s="12"/>
      <c r="R40" s="12"/>
      <c r="S40" s="12"/>
      <c r="T40" s="12"/>
      <c r="U40" s="12"/>
      <c r="V40" s="12"/>
      <c r="W40" s="12"/>
      <c r="X40" s="12"/>
      <c r="Y40" s="12"/>
    </row>
    <row r="41" ht="15.75" customHeight="1">
      <c r="A41" s="16" t="s">
        <v>84</v>
      </c>
      <c r="B41" s="17">
        <v>1989.0</v>
      </c>
      <c r="C41" s="17">
        <v>23.8318289687762</v>
      </c>
      <c r="D41" s="17">
        <v>58.203125</v>
      </c>
      <c r="E41" s="17">
        <v>76.2562814070351</v>
      </c>
      <c r="F41" s="17">
        <v>0.0</v>
      </c>
      <c r="G41" s="17">
        <v>22.5162414831247</v>
      </c>
      <c r="H41" s="17">
        <v>98.2853930478778</v>
      </c>
      <c r="I41" s="17">
        <v>11.4785460508335</v>
      </c>
      <c r="J41" s="17">
        <v>83.4769873234837</v>
      </c>
      <c r="K41" s="17">
        <v>51.8551236749116</v>
      </c>
      <c r="L41" s="22">
        <f t="shared" si="1"/>
        <v>14448.27123</v>
      </c>
      <c r="M41" s="23"/>
      <c r="N41" s="22">
        <f t="shared" si="2"/>
        <v>172.4143213</v>
      </c>
      <c r="O41" s="22">
        <f t="shared" si="3"/>
        <v>0.6758041646</v>
      </c>
      <c r="P41" s="12">
        <v>3.0</v>
      </c>
      <c r="Q41" s="12"/>
      <c r="R41" s="12"/>
      <c r="S41" s="12"/>
      <c r="T41" s="12"/>
      <c r="U41" s="12"/>
      <c r="V41" s="12"/>
      <c r="W41" s="12"/>
      <c r="X41" s="12"/>
      <c r="Y41" s="12"/>
    </row>
    <row r="42" ht="15.75" customHeight="1">
      <c r="A42" s="16" t="s">
        <v>76</v>
      </c>
      <c r="B42" s="17">
        <v>1989.0</v>
      </c>
      <c r="C42" s="17">
        <v>0.0</v>
      </c>
      <c r="D42" s="17">
        <v>49.609375</v>
      </c>
      <c r="E42" s="17">
        <v>86.180904522613</v>
      </c>
      <c r="F42" s="17">
        <v>0.00239754</v>
      </c>
      <c r="G42" s="17">
        <v>44.2243701473617</v>
      </c>
      <c r="H42" s="17">
        <v>80.0337299728286</v>
      </c>
      <c r="I42" s="17">
        <v>3.60754304454769</v>
      </c>
      <c r="J42" s="17">
        <v>16.2182221210651</v>
      </c>
      <c r="K42" s="17">
        <v>33.7455830388692</v>
      </c>
      <c r="L42" s="22">
        <f t="shared" si="1"/>
        <v>13111.5268</v>
      </c>
      <c r="M42" s="23"/>
      <c r="N42" s="22">
        <f t="shared" si="2"/>
        <v>140.2292434</v>
      </c>
      <c r="O42" s="22">
        <f t="shared" si="3"/>
        <v>0.7540375797</v>
      </c>
      <c r="P42" s="12">
        <v>2.0</v>
      </c>
      <c r="Q42" s="12"/>
      <c r="R42" s="12"/>
      <c r="S42" s="12"/>
      <c r="T42" s="12"/>
      <c r="U42" s="12"/>
      <c r="V42" s="12"/>
      <c r="W42" s="12"/>
      <c r="X42" s="12"/>
      <c r="Y42" s="12"/>
    </row>
    <row r="43" ht="15.75" customHeight="1">
      <c r="A43" s="16" t="s">
        <v>53</v>
      </c>
      <c r="B43" s="16" t="s">
        <v>43</v>
      </c>
      <c r="C43" s="17">
        <v>7.49971501704716</v>
      </c>
      <c r="D43" s="17">
        <v>67.1875</v>
      </c>
      <c r="E43" s="17">
        <v>58.2914572864321</v>
      </c>
      <c r="F43" s="17">
        <v>0.0</v>
      </c>
      <c r="G43" s="17">
        <v>67.3585802566946</v>
      </c>
      <c r="H43" s="17">
        <v>78.6002061276117</v>
      </c>
      <c r="I43" s="17">
        <v>11.6151954085815</v>
      </c>
      <c r="J43" s="17">
        <v>14.2677604821232</v>
      </c>
      <c r="K43" s="17">
        <v>6.57022968197879</v>
      </c>
      <c r="L43" s="22">
        <f t="shared" si="1"/>
        <v>14014.30374</v>
      </c>
      <c r="M43" s="23"/>
      <c r="N43" s="22">
        <f t="shared" si="2"/>
        <v>138.0765016</v>
      </c>
      <c r="O43" s="22">
        <f t="shared" si="3"/>
        <v>0.8185214518</v>
      </c>
      <c r="P43" s="12">
        <v>1.0</v>
      </c>
      <c r="Q43" s="12"/>
      <c r="R43" s="12"/>
      <c r="S43" s="12"/>
      <c r="T43" s="12"/>
      <c r="U43" s="12"/>
      <c r="V43" s="12"/>
      <c r="W43" s="12"/>
      <c r="X43" s="12"/>
      <c r="Y43" s="12"/>
    </row>
    <row r="44" ht="15.75" customHeight="1">
      <c r="A44" s="10" t="s">
        <v>87</v>
      </c>
      <c r="B44" s="13"/>
      <c r="C44" s="14">
        <v>3.56</v>
      </c>
      <c r="D44" s="14">
        <v>10.32</v>
      </c>
      <c r="E44" s="14">
        <v>37.19</v>
      </c>
      <c r="F44" s="14">
        <v>0.47</v>
      </c>
      <c r="G44" s="14">
        <v>100.0</v>
      </c>
      <c r="H44" s="14">
        <v>47.39</v>
      </c>
      <c r="I44" s="14">
        <v>1.8</v>
      </c>
      <c r="J44" s="14">
        <v>37.48</v>
      </c>
      <c r="K44" s="14">
        <v>16.74</v>
      </c>
      <c r="L44" s="21"/>
      <c r="M44" s="22">
        <f>sqrt(C44^2+D44^2+E44^2+F44^2+G44^2+H44^2+I44^2+J44^2+K44^2)</f>
        <v>124.2438051</v>
      </c>
      <c r="N44" s="21"/>
      <c r="O44" s="21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23"/>
      <c r="M45" s="23"/>
      <c r="N45" s="23"/>
      <c r="O45" s="23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23"/>
      <c r="M46" s="23"/>
      <c r="N46" s="23"/>
      <c r="O46" s="23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23"/>
      <c r="M47" s="23"/>
      <c r="N47" s="23"/>
      <c r="O47" s="23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23"/>
      <c r="M48" s="23"/>
      <c r="N48" s="23"/>
      <c r="O48" s="23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23"/>
      <c r="M49" s="23"/>
      <c r="N49" s="23"/>
      <c r="O49" s="23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23"/>
      <c r="M50" s="23"/>
      <c r="N50" s="23"/>
      <c r="O50" s="23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23"/>
      <c r="M51" s="23"/>
      <c r="N51" s="23"/>
      <c r="O51" s="23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23"/>
      <c r="M52" s="23"/>
      <c r="N52" s="23"/>
      <c r="O52" s="23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23"/>
      <c r="M53" s="23"/>
      <c r="N53" s="23"/>
      <c r="O53" s="23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23"/>
      <c r="M54" s="23"/>
      <c r="N54" s="23"/>
      <c r="O54" s="23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23"/>
      <c r="M55" s="23"/>
      <c r="N55" s="23"/>
      <c r="O55" s="23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23"/>
      <c r="M56" s="23"/>
      <c r="N56" s="23"/>
      <c r="O56" s="23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23"/>
      <c r="M57" s="23"/>
      <c r="N57" s="23"/>
      <c r="O57" s="23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23"/>
      <c r="M58" s="23"/>
      <c r="N58" s="23"/>
      <c r="O58" s="23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23"/>
      <c r="M59" s="23"/>
      <c r="N59" s="23"/>
      <c r="O59" s="23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23"/>
      <c r="M60" s="23"/>
      <c r="N60" s="23"/>
      <c r="O60" s="23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23"/>
      <c r="M61" s="23"/>
      <c r="N61" s="23"/>
      <c r="O61" s="23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23"/>
      <c r="M62" s="23"/>
      <c r="N62" s="23"/>
      <c r="O62" s="23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23"/>
      <c r="M63" s="23"/>
      <c r="N63" s="23"/>
      <c r="O63" s="23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23"/>
      <c r="M64" s="23"/>
      <c r="N64" s="23"/>
      <c r="O64" s="23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23"/>
      <c r="M65" s="23"/>
      <c r="N65" s="23"/>
      <c r="O65" s="23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23"/>
      <c r="M66" s="23"/>
      <c r="N66" s="23"/>
      <c r="O66" s="23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23"/>
      <c r="M67" s="23"/>
      <c r="N67" s="23"/>
      <c r="O67" s="23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23"/>
      <c r="M68" s="23"/>
      <c r="N68" s="23"/>
      <c r="O68" s="23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23"/>
      <c r="M69" s="23"/>
      <c r="N69" s="23"/>
      <c r="O69" s="23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23"/>
      <c r="M70" s="23"/>
      <c r="N70" s="23"/>
      <c r="O70" s="23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23"/>
      <c r="M71" s="23"/>
      <c r="N71" s="23"/>
      <c r="O71" s="23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23"/>
      <c r="M72" s="23"/>
      <c r="N72" s="23"/>
      <c r="O72" s="23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23"/>
      <c r="M73" s="23"/>
      <c r="N73" s="23"/>
      <c r="O73" s="23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23"/>
      <c r="M74" s="23"/>
      <c r="N74" s="23"/>
      <c r="O74" s="23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23"/>
      <c r="M75" s="23"/>
      <c r="N75" s="23"/>
      <c r="O75" s="23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23"/>
      <c r="M76" s="23"/>
      <c r="N76" s="23"/>
      <c r="O76" s="23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23"/>
      <c r="M77" s="23"/>
      <c r="N77" s="23"/>
      <c r="O77" s="23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23"/>
      <c r="M78" s="23"/>
      <c r="N78" s="23"/>
      <c r="O78" s="23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23"/>
      <c r="M79" s="23"/>
      <c r="N79" s="23"/>
      <c r="O79" s="23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23"/>
      <c r="M80" s="23"/>
      <c r="N80" s="23"/>
      <c r="O80" s="23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23"/>
      <c r="M81" s="23"/>
      <c r="N81" s="23"/>
      <c r="O81" s="23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23"/>
      <c r="M82" s="23"/>
      <c r="N82" s="23"/>
      <c r="O82" s="23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23"/>
      <c r="M83" s="23"/>
      <c r="N83" s="23"/>
      <c r="O83" s="23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23"/>
      <c r="M84" s="23"/>
      <c r="N84" s="23"/>
      <c r="O84" s="23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23"/>
      <c r="M85" s="23"/>
      <c r="N85" s="23"/>
      <c r="O85" s="23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23"/>
      <c r="M86" s="23"/>
      <c r="N86" s="23"/>
      <c r="O86" s="23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23"/>
      <c r="M87" s="23"/>
      <c r="N87" s="23"/>
      <c r="O87" s="23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23"/>
      <c r="M88" s="23"/>
      <c r="N88" s="23"/>
      <c r="O88" s="23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23"/>
      <c r="M89" s="23"/>
      <c r="N89" s="23"/>
      <c r="O89" s="23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23"/>
      <c r="M90" s="23"/>
      <c r="N90" s="23"/>
      <c r="O90" s="23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23"/>
      <c r="M91" s="23"/>
      <c r="N91" s="23"/>
      <c r="O91" s="23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23"/>
      <c r="M92" s="23"/>
      <c r="N92" s="23"/>
      <c r="O92" s="23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23"/>
      <c r="M93" s="23"/>
      <c r="N93" s="23"/>
      <c r="O93" s="23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23"/>
      <c r="M94" s="23"/>
      <c r="N94" s="23"/>
      <c r="O94" s="23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23"/>
      <c r="M95" s="23"/>
      <c r="N95" s="23"/>
      <c r="O95" s="23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23"/>
      <c r="M96" s="23"/>
      <c r="N96" s="23"/>
      <c r="O96" s="23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23"/>
      <c r="M97" s="23"/>
      <c r="N97" s="23"/>
      <c r="O97" s="23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23"/>
      <c r="M98" s="23"/>
      <c r="N98" s="23"/>
      <c r="O98" s="23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23"/>
      <c r="M99" s="23"/>
      <c r="N99" s="23"/>
      <c r="O99" s="23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23"/>
      <c r="M100" s="23"/>
      <c r="N100" s="23"/>
      <c r="O100" s="23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23"/>
      <c r="M101" s="23"/>
      <c r="N101" s="23"/>
      <c r="O101" s="23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23"/>
      <c r="M102" s="23"/>
      <c r="N102" s="23"/>
      <c r="O102" s="23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23"/>
      <c r="M103" s="23"/>
      <c r="N103" s="23"/>
      <c r="O103" s="23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23"/>
      <c r="M104" s="23"/>
      <c r="N104" s="23"/>
      <c r="O104" s="23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23"/>
      <c r="M105" s="23"/>
      <c r="N105" s="23"/>
      <c r="O105" s="23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23"/>
      <c r="M106" s="23"/>
      <c r="N106" s="23"/>
      <c r="O106" s="23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23"/>
      <c r="M107" s="23"/>
      <c r="N107" s="23"/>
      <c r="O107" s="23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23"/>
      <c r="M108" s="23"/>
      <c r="N108" s="23"/>
      <c r="O108" s="23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23"/>
      <c r="M109" s="23"/>
      <c r="N109" s="23"/>
      <c r="O109" s="23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23"/>
      <c r="M110" s="23"/>
      <c r="N110" s="23"/>
      <c r="O110" s="23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23"/>
      <c r="M111" s="23"/>
      <c r="N111" s="23"/>
      <c r="O111" s="23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23"/>
      <c r="M112" s="23"/>
      <c r="N112" s="23"/>
      <c r="O112" s="23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23"/>
      <c r="M113" s="23"/>
      <c r="N113" s="23"/>
      <c r="O113" s="23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23"/>
      <c r="M114" s="23"/>
      <c r="N114" s="23"/>
      <c r="O114" s="23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23"/>
      <c r="M115" s="23"/>
      <c r="N115" s="23"/>
      <c r="O115" s="23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23"/>
      <c r="M116" s="23"/>
      <c r="N116" s="23"/>
      <c r="O116" s="23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23"/>
      <c r="M117" s="23"/>
      <c r="N117" s="23"/>
      <c r="O117" s="23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23"/>
      <c r="M118" s="23"/>
      <c r="N118" s="23"/>
      <c r="O118" s="23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23"/>
      <c r="M119" s="23"/>
      <c r="N119" s="23"/>
      <c r="O119" s="23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23"/>
      <c r="M120" s="23"/>
      <c r="N120" s="23"/>
      <c r="O120" s="23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23"/>
      <c r="M121" s="23"/>
      <c r="N121" s="23"/>
      <c r="O121" s="23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23"/>
      <c r="M122" s="23"/>
      <c r="N122" s="23"/>
      <c r="O122" s="23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23"/>
      <c r="M123" s="23"/>
      <c r="N123" s="23"/>
      <c r="O123" s="23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23"/>
      <c r="M124" s="23"/>
      <c r="N124" s="23"/>
      <c r="O124" s="23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23"/>
      <c r="M125" s="23"/>
      <c r="N125" s="23"/>
      <c r="O125" s="23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23"/>
      <c r="M126" s="23"/>
      <c r="N126" s="23"/>
      <c r="O126" s="23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23"/>
      <c r="M127" s="23"/>
      <c r="N127" s="23"/>
      <c r="O127" s="23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23"/>
      <c r="M128" s="23"/>
      <c r="N128" s="23"/>
      <c r="O128" s="23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23"/>
      <c r="M129" s="23"/>
      <c r="N129" s="23"/>
      <c r="O129" s="23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23"/>
      <c r="M130" s="23"/>
      <c r="N130" s="23"/>
      <c r="O130" s="23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23"/>
      <c r="M131" s="23"/>
      <c r="N131" s="23"/>
      <c r="O131" s="23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23"/>
      <c r="M132" s="23"/>
      <c r="N132" s="23"/>
      <c r="O132" s="23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23"/>
      <c r="M133" s="23"/>
      <c r="N133" s="23"/>
      <c r="O133" s="23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23"/>
      <c r="M134" s="23"/>
      <c r="N134" s="23"/>
      <c r="O134" s="23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23"/>
      <c r="M135" s="23"/>
      <c r="N135" s="23"/>
      <c r="O135" s="23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23"/>
      <c r="M136" s="23"/>
      <c r="N136" s="23"/>
      <c r="O136" s="23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23"/>
      <c r="M137" s="23"/>
      <c r="N137" s="23"/>
      <c r="O137" s="23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23"/>
      <c r="M138" s="23"/>
      <c r="N138" s="23"/>
      <c r="O138" s="23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23"/>
      <c r="M139" s="23"/>
      <c r="N139" s="23"/>
      <c r="O139" s="23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23"/>
      <c r="M140" s="23"/>
      <c r="N140" s="23"/>
      <c r="O140" s="23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23"/>
      <c r="M141" s="23"/>
      <c r="N141" s="23"/>
      <c r="O141" s="23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23"/>
      <c r="M142" s="23"/>
      <c r="N142" s="23"/>
      <c r="O142" s="23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23"/>
      <c r="M143" s="23"/>
      <c r="N143" s="23"/>
      <c r="O143" s="23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23"/>
      <c r="M144" s="23"/>
      <c r="N144" s="23"/>
      <c r="O144" s="23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23"/>
      <c r="M145" s="23"/>
      <c r="N145" s="23"/>
      <c r="O145" s="23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23"/>
      <c r="M146" s="23"/>
      <c r="N146" s="23"/>
      <c r="O146" s="23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23"/>
      <c r="M147" s="23"/>
      <c r="N147" s="23"/>
      <c r="O147" s="23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23"/>
      <c r="M148" s="23"/>
      <c r="N148" s="23"/>
      <c r="O148" s="23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23"/>
      <c r="M149" s="23"/>
      <c r="N149" s="23"/>
      <c r="O149" s="23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23"/>
      <c r="M150" s="23"/>
      <c r="N150" s="23"/>
      <c r="O150" s="23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23"/>
      <c r="M151" s="23"/>
      <c r="N151" s="23"/>
      <c r="O151" s="23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23"/>
      <c r="M152" s="23"/>
      <c r="N152" s="23"/>
      <c r="O152" s="23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23"/>
      <c r="M153" s="23"/>
      <c r="N153" s="23"/>
      <c r="O153" s="23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23"/>
      <c r="M154" s="23"/>
      <c r="N154" s="23"/>
      <c r="O154" s="23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23"/>
      <c r="M155" s="23"/>
      <c r="N155" s="23"/>
      <c r="O155" s="23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23"/>
      <c r="M156" s="23"/>
      <c r="N156" s="23"/>
      <c r="O156" s="23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23"/>
      <c r="M157" s="23"/>
      <c r="N157" s="23"/>
      <c r="O157" s="23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23"/>
      <c r="M158" s="23"/>
      <c r="N158" s="23"/>
      <c r="O158" s="23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23"/>
      <c r="M159" s="23"/>
      <c r="N159" s="23"/>
      <c r="O159" s="23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23"/>
      <c r="M160" s="23"/>
      <c r="N160" s="23"/>
      <c r="O160" s="23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23"/>
      <c r="M161" s="23"/>
      <c r="N161" s="23"/>
      <c r="O161" s="23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23"/>
      <c r="M162" s="23"/>
      <c r="N162" s="23"/>
      <c r="O162" s="23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23"/>
      <c r="M163" s="23"/>
      <c r="N163" s="23"/>
      <c r="O163" s="23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23"/>
      <c r="M164" s="23"/>
      <c r="N164" s="23"/>
      <c r="O164" s="23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23"/>
      <c r="M165" s="23"/>
      <c r="N165" s="23"/>
      <c r="O165" s="23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23"/>
      <c r="M166" s="23"/>
      <c r="N166" s="23"/>
      <c r="O166" s="23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23"/>
      <c r="M167" s="23"/>
      <c r="N167" s="23"/>
      <c r="O167" s="23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23"/>
      <c r="M168" s="23"/>
      <c r="N168" s="23"/>
      <c r="O168" s="23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23"/>
      <c r="M169" s="23"/>
      <c r="N169" s="23"/>
      <c r="O169" s="23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23"/>
      <c r="M170" s="23"/>
      <c r="N170" s="23"/>
      <c r="O170" s="23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23"/>
      <c r="M171" s="23"/>
      <c r="N171" s="23"/>
      <c r="O171" s="23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23"/>
      <c r="M172" s="23"/>
      <c r="N172" s="23"/>
      <c r="O172" s="23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23"/>
      <c r="M173" s="23"/>
      <c r="N173" s="23"/>
      <c r="O173" s="23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23"/>
      <c r="M174" s="23"/>
      <c r="N174" s="23"/>
      <c r="O174" s="23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23"/>
      <c r="M175" s="23"/>
      <c r="N175" s="23"/>
      <c r="O175" s="23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23"/>
      <c r="M176" s="23"/>
      <c r="N176" s="23"/>
      <c r="O176" s="23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23"/>
      <c r="M177" s="23"/>
      <c r="N177" s="23"/>
      <c r="O177" s="23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23"/>
      <c r="M178" s="23"/>
      <c r="N178" s="23"/>
      <c r="O178" s="23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23"/>
      <c r="M179" s="23"/>
      <c r="N179" s="23"/>
      <c r="O179" s="23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23"/>
      <c r="M180" s="23"/>
      <c r="N180" s="23"/>
      <c r="O180" s="23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23"/>
      <c r="M181" s="23"/>
      <c r="N181" s="23"/>
      <c r="O181" s="23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23"/>
      <c r="M182" s="23"/>
      <c r="N182" s="23"/>
      <c r="O182" s="23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23"/>
      <c r="M183" s="23"/>
      <c r="N183" s="23"/>
      <c r="O183" s="23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23"/>
      <c r="M184" s="23"/>
      <c r="N184" s="23"/>
      <c r="O184" s="23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23"/>
      <c r="M185" s="23"/>
      <c r="N185" s="23"/>
      <c r="O185" s="23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23"/>
      <c r="M186" s="23"/>
      <c r="N186" s="23"/>
      <c r="O186" s="23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23"/>
      <c r="M187" s="23"/>
      <c r="N187" s="23"/>
      <c r="O187" s="23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23"/>
      <c r="M188" s="23"/>
      <c r="N188" s="23"/>
      <c r="O188" s="23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23"/>
      <c r="M189" s="23"/>
      <c r="N189" s="23"/>
      <c r="O189" s="23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23"/>
      <c r="M190" s="23"/>
      <c r="N190" s="23"/>
      <c r="O190" s="23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23"/>
      <c r="M191" s="23"/>
      <c r="N191" s="23"/>
      <c r="O191" s="23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23"/>
      <c r="M192" s="23"/>
      <c r="N192" s="23"/>
      <c r="O192" s="23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23"/>
      <c r="M193" s="23"/>
      <c r="N193" s="23"/>
      <c r="O193" s="23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23"/>
      <c r="M194" s="23"/>
      <c r="N194" s="23"/>
      <c r="O194" s="23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23"/>
      <c r="M195" s="23"/>
      <c r="N195" s="23"/>
      <c r="O195" s="23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23"/>
      <c r="M196" s="23"/>
      <c r="N196" s="23"/>
      <c r="O196" s="23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23"/>
      <c r="M197" s="23"/>
      <c r="N197" s="23"/>
      <c r="O197" s="23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23"/>
      <c r="M198" s="23"/>
      <c r="N198" s="23"/>
      <c r="O198" s="23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23"/>
      <c r="M199" s="23"/>
      <c r="N199" s="23"/>
      <c r="O199" s="23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23"/>
      <c r="M200" s="23"/>
      <c r="N200" s="23"/>
      <c r="O200" s="23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23"/>
      <c r="M201" s="23"/>
      <c r="N201" s="23"/>
      <c r="O201" s="23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23"/>
      <c r="M202" s="23"/>
      <c r="N202" s="23"/>
      <c r="O202" s="23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23"/>
      <c r="M203" s="23"/>
      <c r="N203" s="23"/>
      <c r="O203" s="23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23"/>
      <c r="M204" s="23"/>
      <c r="N204" s="23"/>
      <c r="O204" s="23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23"/>
      <c r="M205" s="23"/>
      <c r="N205" s="23"/>
      <c r="O205" s="23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23"/>
      <c r="M206" s="23"/>
      <c r="N206" s="23"/>
      <c r="O206" s="23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23"/>
      <c r="M207" s="23"/>
      <c r="N207" s="23"/>
      <c r="O207" s="23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23"/>
      <c r="M208" s="23"/>
      <c r="N208" s="23"/>
      <c r="O208" s="23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23"/>
      <c r="M209" s="23"/>
      <c r="N209" s="23"/>
      <c r="O209" s="23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23"/>
      <c r="M210" s="23"/>
      <c r="N210" s="23"/>
      <c r="O210" s="23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23"/>
      <c r="M211" s="23"/>
      <c r="N211" s="23"/>
      <c r="O211" s="23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23"/>
      <c r="M212" s="23"/>
      <c r="N212" s="23"/>
      <c r="O212" s="23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23"/>
      <c r="M213" s="23"/>
      <c r="N213" s="23"/>
      <c r="O213" s="23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23"/>
      <c r="M214" s="23"/>
      <c r="N214" s="23"/>
      <c r="O214" s="23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23"/>
      <c r="M215" s="23"/>
      <c r="N215" s="23"/>
      <c r="O215" s="23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23"/>
      <c r="M216" s="23"/>
      <c r="N216" s="23"/>
      <c r="O216" s="23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23"/>
      <c r="M217" s="23"/>
      <c r="N217" s="23"/>
      <c r="O217" s="23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23"/>
      <c r="M218" s="23"/>
      <c r="N218" s="23"/>
      <c r="O218" s="23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23"/>
      <c r="M219" s="23"/>
      <c r="N219" s="23"/>
      <c r="O219" s="23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23"/>
      <c r="M220" s="23"/>
      <c r="N220" s="23"/>
      <c r="O220" s="23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23"/>
      <c r="M221" s="23"/>
      <c r="N221" s="23"/>
      <c r="O221" s="23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23"/>
      <c r="M222" s="23"/>
      <c r="N222" s="23"/>
      <c r="O222" s="23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23"/>
      <c r="M223" s="23"/>
      <c r="N223" s="23"/>
      <c r="O223" s="23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23"/>
      <c r="M224" s="23"/>
      <c r="N224" s="23"/>
      <c r="O224" s="23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23"/>
      <c r="M225" s="23"/>
      <c r="N225" s="23"/>
      <c r="O225" s="23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23"/>
      <c r="M226" s="23"/>
      <c r="N226" s="23"/>
      <c r="O226" s="23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23"/>
      <c r="M227" s="23"/>
      <c r="N227" s="23"/>
      <c r="O227" s="23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23"/>
      <c r="M228" s="23"/>
      <c r="N228" s="23"/>
      <c r="O228" s="23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23"/>
      <c r="M229" s="23"/>
      <c r="N229" s="23"/>
      <c r="O229" s="23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23"/>
      <c r="M230" s="23"/>
      <c r="N230" s="23"/>
      <c r="O230" s="23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23"/>
      <c r="M231" s="23"/>
      <c r="N231" s="23"/>
      <c r="O231" s="23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23"/>
      <c r="M232" s="23"/>
      <c r="N232" s="23"/>
      <c r="O232" s="23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23"/>
      <c r="M233" s="23"/>
      <c r="N233" s="23"/>
      <c r="O233" s="23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23"/>
      <c r="M234" s="23"/>
      <c r="N234" s="23"/>
      <c r="O234" s="23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23"/>
      <c r="M235" s="23"/>
      <c r="N235" s="23"/>
      <c r="O235" s="23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23"/>
      <c r="M236" s="23"/>
      <c r="N236" s="23"/>
      <c r="O236" s="23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23"/>
      <c r="M237" s="23"/>
      <c r="N237" s="23"/>
      <c r="O237" s="23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23"/>
      <c r="M238" s="23"/>
      <c r="N238" s="23"/>
      <c r="O238" s="23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23"/>
      <c r="M239" s="23"/>
      <c r="N239" s="23"/>
      <c r="O239" s="23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23"/>
      <c r="M240" s="23"/>
      <c r="N240" s="23"/>
      <c r="O240" s="23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23"/>
      <c r="M241" s="23"/>
      <c r="N241" s="23"/>
      <c r="O241" s="23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23"/>
      <c r="M242" s="23"/>
      <c r="N242" s="23"/>
      <c r="O242" s="23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23"/>
      <c r="M243" s="23"/>
      <c r="N243" s="23"/>
      <c r="O243" s="23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23"/>
      <c r="M244" s="23"/>
      <c r="N244" s="23"/>
      <c r="O244" s="23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O$1001">
    <sortState ref="A1:O1001">
      <sortCondition ref="O1:O1001"/>
    </sortState>
  </autoFilter>
  <drawing r:id="rId1"/>
</worksheet>
</file>