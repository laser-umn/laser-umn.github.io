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4" sheetId="1" r:id="rId5"/>
    <sheet state="visible" name="Activity 5 Q3" sheetId="2" r:id="rId6"/>
    <sheet state="visible" name="Activity 5" sheetId="3" r:id="rId7"/>
    <sheet state="visible" name="Activity 5 Q 7" sheetId="4" r:id="rId8"/>
    <sheet state="visible" name="Activity 5 Q 8" sheetId="5" r:id="rId9"/>
  </sheets>
  <definedNames>
    <definedName hidden="1" localSheetId="0" name="_xlnm._FilterDatabase">'Activity 4'!$A$1:$E$1000</definedName>
  </definedNames>
  <calcPr/>
</workbook>
</file>

<file path=xl/sharedStrings.xml><?xml version="1.0" encoding="utf-8"?>
<sst xmlns="http://schemas.openxmlformats.org/spreadsheetml/2006/main" count="341" uniqueCount="60">
  <si>
    <t>Track</t>
  </si>
  <si>
    <t>Album</t>
  </si>
  <si>
    <t>Danceability</t>
  </si>
  <si>
    <t>Loudness</t>
  </si>
  <si>
    <t>Distance</t>
  </si>
  <si>
    <t>cardigan</t>
  </si>
  <si>
    <t>folklore</t>
  </si>
  <si>
    <t>Maroon</t>
  </si>
  <si>
    <t>Midnights</t>
  </si>
  <si>
    <t>mad woman</t>
  </si>
  <si>
    <t>betty</t>
  </si>
  <si>
    <t>Bejeweled</t>
  </si>
  <si>
    <t>the last great american dynasty</t>
  </si>
  <si>
    <t>You're On Your Own, Kid</t>
  </si>
  <si>
    <t>seven</t>
  </si>
  <si>
    <t>invisible string</t>
  </si>
  <si>
    <t>mirrorball</t>
  </si>
  <si>
    <t>illicit affairs</t>
  </si>
  <si>
    <t>Karma</t>
  </si>
  <si>
    <t>august</t>
  </si>
  <si>
    <t>Lavender Haze</t>
  </si>
  <si>
    <t>Question...?</t>
  </si>
  <si>
    <t>Midnight Rain</t>
  </si>
  <si>
    <t>Wildest Dreams</t>
  </si>
  <si>
    <t>this is me trying</t>
  </si>
  <si>
    <t>Anti-Hero</t>
  </si>
  <si>
    <t>Out Of The Woods</t>
  </si>
  <si>
    <t>Bad Blood</t>
  </si>
  <si>
    <t>I Wish You Would</t>
  </si>
  <si>
    <t>This Love</t>
  </si>
  <si>
    <t>All You Had To Do Was Stay</t>
  </si>
  <si>
    <t>peace</t>
  </si>
  <si>
    <t>the 1</t>
  </si>
  <si>
    <t>Vigilante Shit</t>
  </si>
  <si>
    <t>Style</t>
  </si>
  <si>
    <t>Clean</t>
  </si>
  <si>
    <t>Shake It Off</t>
  </si>
  <si>
    <t>my tears ricochet</t>
  </si>
  <si>
    <t>How You Get The Girl</t>
  </si>
  <si>
    <t>Snow On The Beach (feat. Lana Del Rey)</t>
  </si>
  <si>
    <t>I Know Places</t>
  </si>
  <si>
    <t>Blank Space</t>
  </si>
  <si>
    <t>Mastermind</t>
  </si>
  <si>
    <t>Welcome To New York</t>
  </si>
  <si>
    <t>hoax</t>
  </si>
  <si>
    <t>exile (feat. Bon Iver)</t>
  </si>
  <si>
    <t>epiphany</t>
  </si>
  <si>
    <t>Labyrinth</t>
  </si>
  <si>
    <t>Sweet Nothing</t>
  </si>
  <si>
    <t>distance</t>
  </si>
  <si>
    <t>Acousticness</t>
  </si>
  <si>
    <t>Energy</t>
  </si>
  <si>
    <t>Instrumentalness</t>
  </si>
  <si>
    <t>Liveness</t>
  </si>
  <si>
    <t>Speechiness</t>
  </si>
  <si>
    <t>Tempo</t>
  </si>
  <si>
    <t>Valence</t>
  </si>
  <si>
    <t>End of the Road</t>
  </si>
  <si>
    <t>Sweet Child O Mine</t>
  </si>
  <si>
    <t>Purple Rain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</si>
</sst>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  <font>
      <sz val="11.0"/>
      <color rgb="FF000000"/>
      <name val="Open Sans"/>
    </font>
    <font>
      <sz val="11.0"/>
      <color rgb="FF000000"/>
      <name val="&quot;Aptos Narrow&quot;"/>
    </font>
    <font>
      <sz val="9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Font="1"/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6" numFmtId="0" xfId="0" applyAlignment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2" fillId="0" fontId="6" numFmtId="0" xfId="0" applyAlignment="1" applyBorder="1" applyFont="1">
      <alignment horizontal="center" shrinkToFit="0" wrapText="1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8" numFmtId="0" xfId="0" applyFont="1"/>
    <xf borderId="0" fillId="0" fontId="7" numFmtId="11" xfId="0" applyAlignment="1" applyFont="1" applyNumberFormat="1">
      <alignment shrinkToFit="0" vertical="bottom" wrapText="0"/>
    </xf>
    <xf borderId="0" fillId="0" fontId="7" numFmtId="11" xfId="0" applyAlignment="1" applyFont="1" applyNumberFormat="1">
      <alignment horizontal="right"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right" shrinkToFit="0" vertical="bottom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88"/>
    <col customWidth="1" min="2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 ht="15.75" customHeight="1">
      <c r="A2" s="4" t="s">
        <v>5</v>
      </c>
      <c r="B2" s="4" t="s">
        <v>6</v>
      </c>
      <c r="C2" s="5">
        <v>61.52</v>
      </c>
      <c r="D2" s="5">
        <v>64.57</v>
      </c>
      <c r="E2" s="6">
        <f t="shared" ref="E2:E43" si="1">sqrt((C2-66.8)^2 + (D2-58)^2)</f>
        <v>8.428718764</v>
      </c>
    </row>
    <row r="3" ht="15.75" customHeight="1">
      <c r="A3" s="4" t="s">
        <v>7</v>
      </c>
      <c r="B3" s="4" t="s">
        <v>8</v>
      </c>
      <c r="C3" s="5">
        <v>66.21</v>
      </c>
      <c r="D3" s="5">
        <v>67.33</v>
      </c>
      <c r="E3" s="6">
        <f t="shared" si="1"/>
        <v>9.348636264</v>
      </c>
    </row>
    <row r="4" ht="15.75" customHeight="1">
      <c r="A4" s="4" t="s">
        <v>9</v>
      </c>
      <c r="B4" s="4" t="s">
        <v>6</v>
      </c>
      <c r="C4" s="5">
        <v>57.42</v>
      </c>
      <c r="D4" s="5">
        <v>60.76</v>
      </c>
      <c r="E4" s="6">
        <f t="shared" si="1"/>
        <v>9.777627524</v>
      </c>
    </row>
    <row r="5" ht="15.75" customHeight="1">
      <c r="A5" s="4" t="s">
        <v>10</v>
      </c>
      <c r="B5" s="4" t="s">
        <v>6</v>
      </c>
      <c r="C5" s="5">
        <v>57.62</v>
      </c>
      <c r="D5" s="5">
        <v>62.95</v>
      </c>
      <c r="E5" s="6">
        <f t="shared" si="1"/>
        <v>10.4295206</v>
      </c>
    </row>
    <row r="6" ht="15.75" customHeight="1">
      <c r="A6" s="4" t="s">
        <v>11</v>
      </c>
      <c r="B6" s="4" t="s">
        <v>8</v>
      </c>
      <c r="C6" s="5">
        <v>77.73</v>
      </c>
      <c r="D6" s="5">
        <v>58.93</v>
      </c>
      <c r="E6" s="6">
        <f t="shared" si="1"/>
        <v>10.96949406</v>
      </c>
    </row>
    <row r="7" ht="15.75" customHeight="1">
      <c r="A7" s="4" t="s">
        <v>12</v>
      </c>
      <c r="B7" s="4" t="s">
        <v>6</v>
      </c>
      <c r="C7" s="5">
        <v>75.78</v>
      </c>
      <c r="D7" s="5">
        <v>65.35</v>
      </c>
      <c r="E7" s="6">
        <f t="shared" si="1"/>
        <v>11.6044345</v>
      </c>
    </row>
    <row r="8" ht="15.75" customHeight="1">
      <c r="A8" s="4" t="s">
        <v>13</v>
      </c>
      <c r="B8" s="4" t="s">
        <v>8</v>
      </c>
      <c r="C8" s="5">
        <v>77.73</v>
      </c>
      <c r="D8" s="5">
        <v>48.64</v>
      </c>
      <c r="E8" s="6">
        <f t="shared" si="1"/>
        <v>14.39008339</v>
      </c>
    </row>
    <row r="9" ht="15.75" customHeight="1">
      <c r="A9" s="4" t="s">
        <v>14</v>
      </c>
      <c r="B9" s="4" t="s">
        <v>6</v>
      </c>
      <c r="C9" s="5">
        <v>58.2</v>
      </c>
      <c r="D9" s="5">
        <v>44.14</v>
      </c>
      <c r="E9" s="6">
        <f t="shared" si="1"/>
        <v>16.31133348</v>
      </c>
    </row>
    <row r="10" ht="15.75" customHeight="1">
      <c r="A10" s="4" t="s">
        <v>15</v>
      </c>
      <c r="B10" s="4" t="s">
        <v>6</v>
      </c>
      <c r="C10" s="5">
        <v>69.34</v>
      </c>
      <c r="D10" s="5">
        <v>40.64</v>
      </c>
      <c r="E10" s="6">
        <f t="shared" si="1"/>
        <v>17.544834</v>
      </c>
    </row>
    <row r="11" ht="15.75" customHeight="1">
      <c r="A11" s="4" t="s">
        <v>16</v>
      </c>
      <c r="B11" s="4" t="s">
        <v>6</v>
      </c>
      <c r="C11" s="5">
        <v>49.8</v>
      </c>
      <c r="D11" s="5">
        <v>51.0</v>
      </c>
      <c r="E11" s="6">
        <f t="shared" si="1"/>
        <v>18.38477631</v>
      </c>
    </row>
    <row r="12" ht="15.75" customHeight="1">
      <c r="A12" s="4" t="s">
        <v>17</v>
      </c>
      <c r="B12" s="4" t="s">
        <v>6</v>
      </c>
      <c r="C12" s="5">
        <v>50.98</v>
      </c>
      <c r="D12" s="5">
        <v>47.18</v>
      </c>
      <c r="E12" s="6">
        <f t="shared" si="1"/>
        <v>19.16624115</v>
      </c>
    </row>
    <row r="13" ht="15.75" customHeight="1">
      <c r="A13" s="4" t="s">
        <v>18</v>
      </c>
      <c r="B13" s="4" t="s">
        <v>8</v>
      </c>
      <c r="C13" s="5">
        <v>67.19</v>
      </c>
      <c r="D13" s="5">
        <v>78.6</v>
      </c>
      <c r="E13" s="6">
        <f t="shared" si="1"/>
        <v>20.60369142</v>
      </c>
    </row>
    <row r="14" ht="15.75" customHeight="1">
      <c r="A14" s="4" t="s">
        <v>19</v>
      </c>
      <c r="B14" s="4" t="s">
        <v>6</v>
      </c>
      <c r="C14" s="5">
        <v>45.7</v>
      </c>
      <c r="D14" s="5">
        <v>58.77</v>
      </c>
      <c r="E14" s="6">
        <f t="shared" si="1"/>
        <v>21.11404509</v>
      </c>
    </row>
    <row r="15" ht="15.75" customHeight="1">
      <c r="A15" s="4" t="s">
        <v>20</v>
      </c>
      <c r="B15" s="4" t="s">
        <v>8</v>
      </c>
      <c r="C15" s="5">
        <v>84.96</v>
      </c>
      <c r="D15" s="5">
        <v>46.76</v>
      </c>
      <c r="E15" s="6">
        <f t="shared" si="1"/>
        <v>21.35704099</v>
      </c>
    </row>
    <row r="16" ht="15.75" customHeight="1">
      <c r="A16" s="4" t="s">
        <v>21</v>
      </c>
      <c r="B16" s="4" t="s">
        <v>8</v>
      </c>
      <c r="C16" s="5">
        <v>88.48</v>
      </c>
      <c r="D16" s="5">
        <v>62.93</v>
      </c>
      <c r="E16" s="6">
        <f t="shared" si="1"/>
        <v>22.23347251</v>
      </c>
    </row>
    <row r="17" ht="15.75" customHeight="1">
      <c r="A17" s="4" t="s">
        <v>22</v>
      </c>
      <c r="B17" s="4" t="s">
        <v>8</v>
      </c>
      <c r="C17" s="5">
        <v>67.38</v>
      </c>
      <c r="D17" s="5">
        <v>35.06</v>
      </c>
      <c r="E17" s="6">
        <f t="shared" si="1"/>
        <v>22.947331</v>
      </c>
    </row>
    <row r="18" ht="15.75" customHeight="1">
      <c r="A18" s="4" t="s">
        <v>23</v>
      </c>
      <c r="B18" s="7">
        <v>1989.0</v>
      </c>
      <c r="C18" s="5">
        <v>50.0</v>
      </c>
      <c r="D18" s="5">
        <v>75.57</v>
      </c>
      <c r="E18" s="6">
        <f t="shared" si="1"/>
        <v>24.30935828</v>
      </c>
    </row>
    <row r="19" ht="15.75" customHeight="1">
      <c r="A19" s="4" t="s">
        <v>24</v>
      </c>
      <c r="B19" s="4" t="s">
        <v>6</v>
      </c>
      <c r="C19" s="5">
        <v>42.38</v>
      </c>
      <c r="D19" s="5">
        <v>52.82</v>
      </c>
      <c r="E19" s="6">
        <f t="shared" si="1"/>
        <v>24.96334913</v>
      </c>
    </row>
    <row r="20" ht="15.75" customHeight="1">
      <c r="A20" s="4" t="s">
        <v>25</v>
      </c>
      <c r="B20" s="4" t="s">
        <v>8</v>
      </c>
      <c r="C20" s="5">
        <v>66.21</v>
      </c>
      <c r="D20" s="5">
        <v>83.47</v>
      </c>
      <c r="E20" s="6">
        <f t="shared" si="1"/>
        <v>25.47683261</v>
      </c>
    </row>
    <row r="21" ht="15.75" customHeight="1">
      <c r="A21" s="4" t="s">
        <v>26</v>
      </c>
      <c r="B21" s="7">
        <v>1989.0</v>
      </c>
      <c r="C21" s="5">
        <v>49.61</v>
      </c>
      <c r="D21" s="5">
        <v>80.03</v>
      </c>
      <c r="E21" s="6">
        <f t="shared" si="1"/>
        <v>27.94310291</v>
      </c>
    </row>
    <row r="22" ht="15.75" customHeight="1">
      <c r="A22" s="4" t="s">
        <v>27</v>
      </c>
      <c r="B22" s="7">
        <v>1989.0</v>
      </c>
      <c r="C22" s="5">
        <v>68.75</v>
      </c>
      <c r="D22" s="5">
        <v>87.75</v>
      </c>
      <c r="E22" s="6">
        <f t="shared" si="1"/>
        <v>29.81383907</v>
      </c>
    </row>
    <row r="23" ht="15.75" customHeight="1">
      <c r="A23" s="4" t="s">
        <v>28</v>
      </c>
      <c r="B23" s="7">
        <v>1989.0</v>
      </c>
      <c r="C23" s="5">
        <v>68.36</v>
      </c>
      <c r="D23" s="5">
        <v>89.17</v>
      </c>
      <c r="E23" s="6">
        <f t="shared" si="1"/>
        <v>31.20901312</v>
      </c>
    </row>
    <row r="24" ht="15.75" customHeight="1">
      <c r="A24" s="4" t="s">
        <v>29</v>
      </c>
      <c r="B24" s="7">
        <v>1989.0</v>
      </c>
      <c r="C24" s="5">
        <v>34.57</v>
      </c>
      <c r="D24" s="5">
        <v>62.89</v>
      </c>
      <c r="E24" s="6">
        <f t="shared" si="1"/>
        <v>32.59884967</v>
      </c>
    </row>
    <row r="25" ht="15.75" customHeight="1">
      <c r="A25" s="4" t="s">
        <v>30</v>
      </c>
      <c r="B25" s="7">
        <v>1989.0</v>
      </c>
      <c r="C25" s="5">
        <v>59.38</v>
      </c>
      <c r="D25" s="5">
        <v>90.9</v>
      </c>
      <c r="E25" s="6">
        <f t="shared" si="1"/>
        <v>33.72634578</v>
      </c>
    </row>
    <row r="26" ht="15.75" customHeight="1">
      <c r="A26" s="4" t="s">
        <v>31</v>
      </c>
      <c r="B26" s="4" t="s">
        <v>6</v>
      </c>
      <c r="C26" s="5">
        <v>68.16</v>
      </c>
      <c r="D26" s="5">
        <v>24.12</v>
      </c>
      <c r="E26" s="6">
        <f t="shared" si="1"/>
        <v>33.90728535</v>
      </c>
    </row>
    <row r="27" ht="15.75" customHeight="1">
      <c r="A27" s="4" t="s">
        <v>32</v>
      </c>
      <c r="B27" s="4" t="s">
        <v>6</v>
      </c>
      <c r="C27" s="5">
        <v>93.55</v>
      </c>
      <c r="D27" s="5">
        <v>80.0</v>
      </c>
      <c r="E27" s="6">
        <f t="shared" si="1"/>
        <v>34.63470081</v>
      </c>
    </row>
    <row r="28" ht="15.75" customHeight="1">
      <c r="A28" s="4" t="s">
        <v>33</v>
      </c>
      <c r="B28" s="4" t="s">
        <v>8</v>
      </c>
      <c r="C28" s="5">
        <v>97.66</v>
      </c>
      <c r="D28" s="5">
        <v>41.08</v>
      </c>
      <c r="E28" s="6">
        <f t="shared" si="1"/>
        <v>35.19411883</v>
      </c>
    </row>
    <row r="29" ht="15.75" customHeight="1">
      <c r="A29" s="4" t="s">
        <v>34</v>
      </c>
      <c r="B29" s="7">
        <v>1989.0</v>
      </c>
      <c r="C29" s="5">
        <v>58.59</v>
      </c>
      <c r="D29" s="5">
        <v>92.83</v>
      </c>
      <c r="E29" s="6">
        <f t="shared" si="1"/>
        <v>35.78453577</v>
      </c>
    </row>
    <row r="30" ht="15.75" customHeight="1">
      <c r="A30" s="4" t="s">
        <v>35</v>
      </c>
      <c r="B30" s="7">
        <v>1989.0</v>
      </c>
      <c r="C30" s="5">
        <v>100.0</v>
      </c>
      <c r="D30" s="5">
        <v>72.23</v>
      </c>
      <c r="E30" s="6">
        <f t="shared" si="1"/>
        <v>36.12108664</v>
      </c>
    </row>
    <row r="31" ht="15.75" customHeight="1">
      <c r="A31" s="4" t="s">
        <v>36</v>
      </c>
      <c r="B31" s="7">
        <v>1989.0</v>
      </c>
      <c r="C31" s="5">
        <v>68.16</v>
      </c>
      <c r="D31" s="5">
        <v>94.31</v>
      </c>
      <c r="E31" s="6">
        <f t="shared" si="1"/>
        <v>36.33546064</v>
      </c>
    </row>
    <row r="32" ht="15.75" customHeight="1">
      <c r="A32" s="4" t="s">
        <v>37</v>
      </c>
      <c r="B32" s="4" t="s">
        <v>6</v>
      </c>
      <c r="C32" s="5">
        <v>30.86</v>
      </c>
      <c r="D32" s="5">
        <v>45.44</v>
      </c>
      <c r="E32" s="6">
        <f t="shared" si="1"/>
        <v>38.07147489</v>
      </c>
    </row>
    <row r="33" ht="15.75" customHeight="1">
      <c r="A33" s="4" t="s">
        <v>38</v>
      </c>
      <c r="B33" s="7">
        <v>1989.0</v>
      </c>
      <c r="C33" s="5">
        <v>91.02</v>
      </c>
      <c r="D33" s="5">
        <v>87.55</v>
      </c>
      <c r="E33" s="6">
        <f t="shared" si="1"/>
        <v>38.20747178</v>
      </c>
    </row>
    <row r="34" ht="15.75" customHeight="1">
      <c r="A34" s="4" t="s">
        <v>39</v>
      </c>
      <c r="B34" s="4" t="s">
        <v>8</v>
      </c>
      <c r="C34" s="5">
        <v>71.29</v>
      </c>
      <c r="D34" s="5">
        <v>18.73</v>
      </c>
      <c r="E34" s="6">
        <f t="shared" si="1"/>
        <v>39.5258523</v>
      </c>
    </row>
    <row r="35" ht="15.75" customHeight="1">
      <c r="A35" s="4" t="s">
        <v>40</v>
      </c>
      <c r="B35" s="7">
        <v>1989.0</v>
      </c>
      <c r="C35" s="5">
        <v>58.2</v>
      </c>
      <c r="D35" s="5">
        <v>98.29</v>
      </c>
      <c r="E35" s="6">
        <f t="shared" si="1"/>
        <v>41.1976225</v>
      </c>
    </row>
    <row r="36" ht="15.75" customHeight="1">
      <c r="A36" s="4" t="s">
        <v>41</v>
      </c>
      <c r="B36" s="7">
        <v>1989.0</v>
      </c>
      <c r="C36" s="5">
        <v>88.87</v>
      </c>
      <c r="D36" s="5">
        <v>94.25</v>
      </c>
      <c r="E36" s="6">
        <f t="shared" si="1"/>
        <v>42.43992696</v>
      </c>
    </row>
    <row r="37" ht="15.75" customHeight="1">
      <c r="A37" s="4" t="s">
        <v>42</v>
      </c>
      <c r="B37" s="4" t="s">
        <v>8</v>
      </c>
      <c r="C37" s="5">
        <v>71.09</v>
      </c>
      <c r="D37" s="5">
        <v>13.27</v>
      </c>
      <c r="E37" s="6">
        <f t="shared" si="1"/>
        <v>44.93525342</v>
      </c>
    </row>
    <row r="38" ht="15.75" customHeight="1">
      <c r="A38" s="4" t="s">
        <v>43</v>
      </c>
      <c r="B38" s="8">
        <v>1989.0</v>
      </c>
      <c r="C38" s="5">
        <v>96.68</v>
      </c>
      <c r="D38" s="5">
        <v>100.0</v>
      </c>
      <c r="E38" s="6">
        <f t="shared" si="1"/>
        <v>51.54429551</v>
      </c>
    </row>
    <row r="39" ht="15.75" customHeight="1">
      <c r="A39" s="4" t="s">
        <v>44</v>
      </c>
      <c r="B39" s="4" t="s">
        <v>6</v>
      </c>
      <c r="C39" s="5">
        <v>71.09</v>
      </c>
      <c r="D39" s="5">
        <v>3.89</v>
      </c>
      <c r="E39" s="6">
        <f t="shared" si="1"/>
        <v>54.2797955</v>
      </c>
    </row>
    <row r="40" ht="15.75" customHeight="1">
      <c r="A40" s="4" t="s">
        <v>45</v>
      </c>
      <c r="B40" s="4" t="s">
        <v>6</v>
      </c>
      <c r="C40" s="5">
        <v>0.0</v>
      </c>
      <c r="D40" s="5">
        <v>66.09</v>
      </c>
      <c r="E40" s="6">
        <f t="shared" si="1"/>
        <v>67.28809776</v>
      </c>
    </row>
    <row r="41" ht="15.75" customHeight="1">
      <c r="A41" s="4" t="s">
        <v>46</v>
      </c>
      <c r="B41" s="4" t="s">
        <v>6</v>
      </c>
      <c r="C41" s="5">
        <v>10.94</v>
      </c>
      <c r="D41" s="5">
        <v>16.77</v>
      </c>
      <c r="E41" s="6">
        <f t="shared" si="1"/>
        <v>69.42803828</v>
      </c>
    </row>
    <row r="42" ht="15.75" customHeight="1">
      <c r="A42" s="4" t="s">
        <v>47</v>
      </c>
      <c r="B42" s="4" t="s">
        <v>8</v>
      </c>
      <c r="C42" s="5">
        <v>21.09</v>
      </c>
      <c r="D42" s="5">
        <v>0.0</v>
      </c>
      <c r="E42" s="6">
        <f t="shared" si="1"/>
        <v>73.84716718</v>
      </c>
    </row>
    <row r="43" ht="15.75" customHeight="1">
      <c r="A43" s="4" t="s">
        <v>48</v>
      </c>
      <c r="B43" s="4" t="s">
        <v>8</v>
      </c>
      <c r="C43" s="5">
        <v>7.62</v>
      </c>
      <c r="D43" s="5">
        <v>5.26</v>
      </c>
      <c r="E43" s="6">
        <f t="shared" si="1"/>
        <v>79.27029709</v>
      </c>
    </row>
    <row r="44" ht="15.75" customHeight="1">
      <c r="A44" s="9"/>
      <c r="B44" s="9"/>
      <c r="C44" s="10"/>
      <c r="D44" s="10"/>
    </row>
    <row r="45" ht="15.75" customHeight="1">
      <c r="A45" s="9"/>
      <c r="B45" s="9"/>
      <c r="C45" s="10"/>
      <c r="D45" s="10"/>
    </row>
    <row r="46" ht="15.75" customHeight="1">
      <c r="A46" s="9"/>
      <c r="B46" s="9"/>
      <c r="C46" s="10"/>
      <c r="D46" s="10"/>
    </row>
    <row r="47" ht="15.75" customHeight="1">
      <c r="A47" s="9"/>
      <c r="B47" s="9"/>
      <c r="C47" s="10"/>
      <c r="D47" s="10"/>
    </row>
    <row r="48" ht="15.75" customHeight="1">
      <c r="A48" s="9"/>
      <c r="B48" s="9"/>
      <c r="C48" s="10"/>
      <c r="D48" s="10"/>
    </row>
    <row r="49" ht="15.75" customHeight="1">
      <c r="A49" s="9"/>
      <c r="B49" s="9"/>
      <c r="C49" s="10"/>
      <c r="D49" s="10"/>
    </row>
    <row r="50" ht="15.75" customHeight="1">
      <c r="A50" s="9"/>
      <c r="B50" s="9"/>
      <c r="C50" s="10"/>
      <c r="D50" s="10"/>
    </row>
    <row r="51" ht="15.75" customHeight="1">
      <c r="A51" s="9"/>
      <c r="B51" s="9"/>
      <c r="C51" s="10"/>
      <c r="D51" s="10"/>
    </row>
    <row r="52" ht="15.75" customHeight="1">
      <c r="A52" s="9"/>
      <c r="B52" s="9"/>
      <c r="C52" s="10"/>
      <c r="D52" s="10"/>
    </row>
    <row r="53" ht="15.75" customHeight="1">
      <c r="A53" s="9"/>
      <c r="B53" s="9"/>
      <c r="C53" s="10"/>
      <c r="D53" s="10"/>
    </row>
    <row r="54" ht="15.75" customHeight="1">
      <c r="A54" s="9"/>
      <c r="B54" s="9"/>
      <c r="C54" s="10"/>
      <c r="D54" s="10"/>
    </row>
    <row r="55" ht="15.75" customHeight="1">
      <c r="A55" s="9"/>
      <c r="B55" s="9"/>
      <c r="C55" s="10"/>
      <c r="D55" s="10"/>
    </row>
    <row r="56" ht="15.75" customHeight="1">
      <c r="A56" s="9"/>
      <c r="B56" s="9"/>
      <c r="C56" s="10"/>
      <c r="D56" s="10"/>
    </row>
    <row r="57" ht="15.75" customHeight="1">
      <c r="A57" s="9"/>
      <c r="B57" s="9"/>
      <c r="C57" s="10"/>
      <c r="D57" s="10"/>
    </row>
    <row r="58" ht="15.75" customHeight="1">
      <c r="A58" s="9"/>
      <c r="B58" s="9"/>
      <c r="C58" s="10"/>
      <c r="D58" s="10"/>
    </row>
    <row r="59" ht="15.75" customHeight="1">
      <c r="A59" s="9"/>
      <c r="B59" s="9"/>
      <c r="C59" s="10"/>
      <c r="D59" s="10"/>
    </row>
    <row r="60" ht="15.75" customHeight="1">
      <c r="A60" s="9"/>
      <c r="B60" s="9"/>
      <c r="C60" s="10"/>
      <c r="D60" s="10"/>
    </row>
    <row r="61" ht="15.75" customHeight="1">
      <c r="A61" s="9"/>
      <c r="B61" s="9"/>
      <c r="C61" s="10"/>
      <c r="D61" s="10"/>
    </row>
    <row r="62" ht="15.75" customHeight="1">
      <c r="A62" s="9"/>
      <c r="B62" s="9"/>
      <c r="C62" s="10"/>
      <c r="D62" s="10"/>
    </row>
    <row r="63" ht="15.75" customHeight="1">
      <c r="A63" s="9"/>
      <c r="B63" s="9"/>
      <c r="C63" s="10"/>
      <c r="D63" s="10"/>
    </row>
    <row r="64" ht="15.75" customHeight="1">
      <c r="A64" s="9"/>
      <c r="B64" s="9"/>
      <c r="C64" s="10"/>
      <c r="D64" s="10"/>
    </row>
    <row r="65" ht="15.75" customHeight="1">
      <c r="A65" s="9"/>
      <c r="B65" s="9"/>
      <c r="C65" s="10"/>
      <c r="D65" s="10"/>
    </row>
    <row r="66" ht="15.75" customHeight="1">
      <c r="A66" s="9"/>
      <c r="B66" s="9"/>
      <c r="C66" s="10"/>
      <c r="D66" s="10"/>
    </row>
    <row r="67" ht="15.75" customHeight="1">
      <c r="A67" s="9"/>
      <c r="B67" s="9"/>
      <c r="C67" s="10"/>
      <c r="D67" s="10"/>
    </row>
    <row r="68" ht="15.75" customHeight="1">
      <c r="A68" s="9"/>
      <c r="B68" s="9"/>
      <c r="C68" s="10"/>
      <c r="D68" s="10"/>
    </row>
    <row r="69" ht="15.75" customHeight="1">
      <c r="A69" s="9"/>
      <c r="B69" s="9"/>
      <c r="C69" s="10"/>
      <c r="D69" s="10"/>
    </row>
    <row r="70" ht="15.75" customHeight="1">
      <c r="A70" s="9"/>
      <c r="B70" s="9"/>
      <c r="C70" s="10"/>
      <c r="D70" s="10"/>
    </row>
    <row r="71" ht="15.75" customHeight="1">
      <c r="A71" s="9"/>
      <c r="B71" s="9"/>
      <c r="C71" s="10"/>
      <c r="D71" s="10"/>
    </row>
    <row r="72" ht="15.75" customHeight="1">
      <c r="A72" s="9"/>
      <c r="B72" s="9"/>
      <c r="C72" s="10"/>
      <c r="D72" s="10"/>
    </row>
    <row r="73" ht="15.75" customHeight="1">
      <c r="A73" s="9"/>
      <c r="B73" s="9"/>
      <c r="C73" s="10"/>
      <c r="D73" s="10"/>
    </row>
    <row r="74" ht="15.75" customHeight="1">
      <c r="A74" s="9"/>
      <c r="B74" s="9"/>
      <c r="C74" s="10"/>
      <c r="D74" s="10"/>
    </row>
    <row r="75" ht="15.75" customHeight="1">
      <c r="A75" s="9"/>
      <c r="B75" s="9"/>
      <c r="C75" s="10"/>
      <c r="D75" s="10"/>
    </row>
    <row r="76" ht="15.75" customHeight="1">
      <c r="A76" s="9"/>
      <c r="B76" s="9"/>
      <c r="C76" s="10"/>
      <c r="D76" s="10"/>
    </row>
    <row r="77" ht="15.75" customHeight="1">
      <c r="A77" s="9"/>
      <c r="B77" s="9"/>
      <c r="C77" s="10"/>
      <c r="D77" s="10"/>
    </row>
    <row r="78" ht="15.75" customHeight="1">
      <c r="A78" s="9"/>
      <c r="B78" s="9"/>
      <c r="C78" s="10"/>
      <c r="D78" s="10"/>
    </row>
    <row r="79" ht="15.75" customHeight="1">
      <c r="A79" s="9"/>
      <c r="B79" s="9"/>
      <c r="C79" s="10"/>
      <c r="D79" s="10"/>
    </row>
    <row r="80" ht="15.75" customHeight="1">
      <c r="A80" s="9"/>
      <c r="B80" s="9"/>
      <c r="C80" s="10"/>
      <c r="D80" s="10"/>
    </row>
    <row r="81" ht="15.75" customHeight="1">
      <c r="A81" s="9"/>
      <c r="B81" s="9"/>
      <c r="C81" s="10"/>
      <c r="D81" s="10"/>
    </row>
    <row r="82" ht="15.75" customHeight="1">
      <c r="A82" s="9"/>
      <c r="B82" s="9"/>
      <c r="C82" s="10"/>
      <c r="D82" s="10"/>
    </row>
    <row r="83" ht="15.75" customHeight="1">
      <c r="A83" s="9"/>
      <c r="B83" s="9"/>
      <c r="C83" s="10"/>
      <c r="D83" s="10"/>
    </row>
    <row r="84" ht="15.75" customHeight="1">
      <c r="A84" s="9"/>
      <c r="B84" s="9"/>
      <c r="C84" s="10"/>
      <c r="D84" s="10"/>
    </row>
    <row r="85" ht="15.75" customHeight="1">
      <c r="A85" s="9"/>
      <c r="B85" s="9"/>
      <c r="C85" s="10"/>
      <c r="D85" s="10"/>
    </row>
    <row r="86" ht="15.75" customHeight="1">
      <c r="A86" s="9"/>
      <c r="B86" s="9"/>
      <c r="C86" s="10"/>
      <c r="D86" s="10"/>
    </row>
    <row r="87" ht="15.75" customHeight="1">
      <c r="A87" s="9"/>
      <c r="B87" s="9"/>
      <c r="C87" s="10"/>
      <c r="D87" s="10"/>
    </row>
    <row r="88" ht="15.75" customHeight="1">
      <c r="A88" s="9"/>
      <c r="B88" s="9"/>
      <c r="C88" s="10"/>
      <c r="D88" s="10"/>
    </row>
    <row r="89" ht="15.75" customHeight="1">
      <c r="A89" s="9"/>
      <c r="B89" s="9"/>
      <c r="C89" s="10"/>
      <c r="D89" s="10"/>
    </row>
    <row r="90" ht="15.75" customHeight="1">
      <c r="A90" s="9"/>
      <c r="B90" s="9"/>
      <c r="C90" s="10"/>
      <c r="D90" s="10"/>
    </row>
    <row r="91" ht="15.75" customHeight="1">
      <c r="A91" s="9"/>
      <c r="B91" s="9"/>
      <c r="C91" s="10"/>
      <c r="D91" s="10"/>
    </row>
    <row r="92" ht="15.75" customHeight="1">
      <c r="A92" s="9"/>
      <c r="B92" s="9"/>
      <c r="C92" s="10"/>
      <c r="D92" s="10"/>
    </row>
    <row r="93" ht="15.75" customHeight="1">
      <c r="A93" s="9"/>
      <c r="B93" s="9"/>
      <c r="C93" s="10"/>
      <c r="D93" s="10"/>
    </row>
    <row r="94" ht="15.75" customHeight="1">
      <c r="A94" s="9"/>
      <c r="B94" s="9"/>
      <c r="C94" s="10"/>
      <c r="D94" s="10"/>
    </row>
    <row r="95" ht="15.75" customHeight="1">
      <c r="A95" s="9"/>
      <c r="B95" s="9"/>
      <c r="C95" s="10"/>
      <c r="D95" s="10"/>
    </row>
    <row r="96" ht="15.75" customHeight="1">
      <c r="A96" s="9"/>
      <c r="B96" s="9"/>
      <c r="C96" s="10"/>
      <c r="D96" s="10"/>
    </row>
    <row r="97" ht="15.75" customHeight="1">
      <c r="A97" s="9"/>
      <c r="B97" s="9"/>
      <c r="C97" s="10"/>
      <c r="D97" s="10"/>
    </row>
    <row r="98" ht="15.75" customHeight="1">
      <c r="A98" s="9"/>
      <c r="B98" s="9"/>
      <c r="C98" s="10"/>
      <c r="D98" s="10"/>
    </row>
    <row r="99" ht="15.75" customHeight="1">
      <c r="A99" s="9"/>
      <c r="B99" s="9"/>
      <c r="C99" s="10"/>
      <c r="D99" s="10"/>
    </row>
    <row r="100" ht="15.75" customHeight="1">
      <c r="A100" s="9"/>
      <c r="B100" s="9"/>
      <c r="C100" s="10"/>
      <c r="D100" s="10"/>
    </row>
    <row r="101" ht="15.75" customHeight="1">
      <c r="A101" s="9"/>
      <c r="B101" s="9"/>
      <c r="C101" s="10"/>
      <c r="D101" s="10"/>
    </row>
    <row r="102" ht="15.75" customHeight="1">
      <c r="A102" s="9"/>
      <c r="B102" s="9"/>
      <c r="C102" s="10"/>
      <c r="D102" s="10"/>
    </row>
    <row r="103" ht="15.75" customHeight="1">
      <c r="A103" s="9"/>
      <c r="B103" s="9"/>
      <c r="C103" s="10"/>
      <c r="D103" s="10"/>
    </row>
    <row r="104" ht="15.75" customHeight="1">
      <c r="A104" s="9"/>
      <c r="B104" s="9"/>
      <c r="C104" s="10"/>
      <c r="D104" s="10"/>
    </row>
    <row r="105" ht="15.75" customHeight="1">
      <c r="A105" s="9"/>
      <c r="B105" s="9"/>
      <c r="C105" s="10"/>
      <c r="D105" s="10"/>
    </row>
    <row r="106" ht="15.75" customHeight="1">
      <c r="A106" s="9"/>
      <c r="B106" s="9"/>
      <c r="C106" s="10"/>
      <c r="D106" s="10"/>
    </row>
    <row r="107" ht="15.75" customHeight="1">
      <c r="A107" s="9"/>
      <c r="B107" s="9"/>
      <c r="C107" s="10"/>
      <c r="D107" s="10"/>
    </row>
    <row r="108" ht="15.75" customHeight="1">
      <c r="A108" s="9"/>
      <c r="B108" s="9"/>
      <c r="C108" s="10"/>
      <c r="D108" s="10"/>
    </row>
    <row r="109" ht="15.75" customHeight="1">
      <c r="A109" s="9"/>
      <c r="B109" s="9"/>
      <c r="C109" s="10"/>
      <c r="D109" s="10"/>
    </row>
    <row r="110" ht="15.75" customHeight="1">
      <c r="A110" s="9"/>
      <c r="B110" s="9"/>
      <c r="C110" s="10"/>
      <c r="D110" s="10"/>
    </row>
    <row r="111" ht="15.75" customHeight="1">
      <c r="A111" s="9"/>
      <c r="B111" s="9"/>
      <c r="C111" s="10"/>
      <c r="D111" s="10"/>
    </row>
    <row r="112" ht="15.75" customHeight="1">
      <c r="A112" s="9"/>
      <c r="B112" s="9"/>
      <c r="C112" s="10"/>
      <c r="D112" s="10"/>
    </row>
    <row r="113" ht="15.75" customHeight="1">
      <c r="A113" s="9"/>
      <c r="B113" s="9"/>
      <c r="C113" s="10"/>
      <c r="D113" s="10"/>
    </row>
    <row r="114" ht="15.75" customHeight="1">
      <c r="A114" s="9"/>
      <c r="B114" s="9"/>
      <c r="C114" s="10"/>
      <c r="D114" s="10"/>
    </row>
    <row r="115" ht="15.75" customHeight="1">
      <c r="A115" s="9"/>
      <c r="B115" s="9"/>
      <c r="C115" s="10"/>
      <c r="D115" s="10"/>
    </row>
    <row r="116" ht="15.75" customHeight="1">
      <c r="A116" s="9"/>
      <c r="B116" s="9"/>
      <c r="C116" s="10"/>
      <c r="D116" s="10"/>
    </row>
    <row r="117" ht="15.75" customHeight="1">
      <c r="A117" s="9"/>
      <c r="B117" s="9"/>
      <c r="C117" s="10"/>
      <c r="D117" s="10"/>
    </row>
    <row r="118" ht="15.75" customHeight="1">
      <c r="A118" s="9"/>
      <c r="B118" s="9"/>
      <c r="C118" s="10"/>
      <c r="D118" s="10"/>
    </row>
    <row r="119" ht="15.75" customHeight="1">
      <c r="A119" s="9"/>
      <c r="B119" s="9"/>
      <c r="C119" s="10"/>
      <c r="D119" s="10"/>
    </row>
    <row r="120" ht="15.75" customHeight="1">
      <c r="A120" s="9"/>
      <c r="B120" s="9"/>
      <c r="C120" s="10"/>
      <c r="D120" s="10"/>
    </row>
    <row r="121" ht="15.75" customHeight="1">
      <c r="A121" s="9"/>
      <c r="B121" s="9"/>
      <c r="C121" s="10"/>
      <c r="D121" s="10"/>
    </row>
    <row r="122" ht="15.75" customHeight="1">
      <c r="A122" s="9"/>
      <c r="B122" s="9"/>
      <c r="C122" s="10"/>
      <c r="D122" s="10"/>
    </row>
    <row r="123" ht="15.75" customHeight="1">
      <c r="A123" s="9"/>
      <c r="B123" s="9"/>
      <c r="C123" s="10"/>
      <c r="D123" s="10"/>
    </row>
    <row r="124" ht="15.75" customHeight="1">
      <c r="A124" s="9"/>
      <c r="B124" s="9"/>
      <c r="C124" s="10"/>
      <c r="D124" s="10"/>
    </row>
    <row r="125" ht="15.75" customHeight="1">
      <c r="A125" s="9"/>
      <c r="B125" s="9"/>
      <c r="C125" s="10"/>
      <c r="D125" s="10"/>
    </row>
    <row r="126" ht="15.75" customHeight="1">
      <c r="A126" s="9"/>
      <c r="B126" s="9"/>
      <c r="C126" s="10"/>
      <c r="D126" s="10"/>
    </row>
    <row r="127" ht="15.75" customHeight="1">
      <c r="A127" s="9"/>
      <c r="B127" s="9"/>
      <c r="C127" s="10"/>
      <c r="D127" s="10"/>
    </row>
    <row r="128" ht="15.75" customHeight="1">
      <c r="A128" s="9"/>
      <c r="B128" s="9"/>
      <c r="C128" s="10"/>
      <c r="D128" s="10"/>
    </row>
    <row r="129" ht="15.75" customHeight="1">
      <c r="A129" s="9"/>
      <c r="B129" s="9"/>
      <c r="C129" s="10"/>
      <c r="D129" s="10"/>
    </row>
    <row r="130" ht="15.75" customHeight="1">
      <c r="A130" s="9"/>
      <c r="B130" s="9"/>
      <c r="C130" s="10"/>
      <c r="D130" s="10"/>
    </row>
    <row r="131" ht="15.75" customHeight="1">
      <c r="A131" s="9"/>
      <c r="B131" s="9"/>
      <c r="C131" s="10"/>
      <c r="D131" s="10"/>
    </row>
    <row r="132" ht="15.75" customHeight="1">
      <c r="A132" s="9"/>
      <c r="B132" s="9"/>
      <c r="C132" s="10"/>
      <c r="D132" s="10"/>
    </row>
    <row r="133" ht="15.75" customHeight="1">
      <c r="A133" s="9"/>
      <c r="B133" s="9"/>
      <c r="C133" s="10"/>
      <c r="D133" s="10"/>
    </row>
    <row r="134" ht="15.75" customHeight="1">
      <c r="A134" s="9"/>
      <c r="B134" s="9"/>
      <c r="C134" s="10"/>
      <c r="D134" s="10"/>
    </row>
    <row r="135" ht="15.75" customHeight="1">
      <c r="A135" s="9"/>
      <c r="B135" s="9"/>
      <c r="C135" s="10"/>
      <c r="D135" s="10"/>
    </row>
    <row r="136" ht="15.75" customHeight="1">
      <c r="A136" s="9"/>
      <c r="B136" s="9"/>
      <c r="C136" s="10"/>
      <c r="D136" s="10"/>
    </row>
    <row r="137" ht="15.75" customHeight="1">
      <c r="A137" s="9"/>
      <c r="B137" s="9"/>
      <c r="C137" s="10"/>
      <c r="D137" s="10"/>
    </row>
    <row r="138" ht="15.75" customHeight="1">
      <c r="A138" s="9"/>
      <c r="B138" s="9"/>
      <c r="C138" s="10"/>
      <c r="D138" s="10"/>
    </row>
    <row r="139" ht="15.75" customHeight="1">
      <c r="A139" s="9"/>
      <c r="B139" s="9"/>
      <c r="C139" s="10"/>
      <c r="D139" s="10"/>
    </row>
    <row r="140" ht="15.75" customHeight="1">
      <c r="A140" s="9"/>
      <c r="B140" s="9"/>
      <c r="C140" s="10"/>
      <c r="D140" s="10"/>
    </row>
    <row r="141" ht="15.75" customHeight="1">
      <c r="A141" s="9"/>
      <c r="B141" s="9"/>
      <c r="C141" s="10"/>
      <c r="D141" s="10"/>
    </row>
    <row r="142" ht="15.75" customHeight="1">
      <c r="A142" s="9"/>
      <c r="B142" s="9"/>
      <c r="C142" s="10"/>
      <c r="D142" s="10"/>
    </row>
    <row r="143" ht="15.75" customHeight="1">
      <c r="A143" s="9"/>
      <c r="B143" s="9"/>
      <c r="C143" s="10"/>
      <c r="D143" s="10"/>
    </row>
    <row r="144" ht="15.75" customHeight="1">
      <c r="A144" s="9"/>
      <c r="B144" s="9"/>
      <c r="C144" s="10"/>
      <c r="D144" s="10"/>
    </row>
    <row r="145" ht="15.75" customHeight="1">
      <c r="A145" s="9"/>
      <c r="B145" s="9"/>
      <c r="C145" s="10"/>
      <c r="D145" s="10"/>
    </row>
    <row r="146" ht="15.75" customHeight="1">
      <c r="A146" s="9"/>
      <c r="B146" s="9"/>
      <c r="C146" s="10"/>
      <c r="D146" s="10"/>
    </row>
    <row r="147" ht="15.75" customHeight="1">
      <c r="A147" s="9"/>
      <c r="B147" s="9"/>
      <c r="C147" s="10"/>
      <c r="D147" s="10"/>
    </row>
    <row r="148" ht="15.75" customHeight="1">
      <c r="A148" s="9"/>
      <c r="B148" s="9"/>
      <c r="C148" s="10"/>
      <c r="D148" s="10"/>
    </row>
    <row r="149" ht="15.75" customHeight="1">
      <c r="A149" s="9"/>
      <c r="B149" s="9"/>
      <c r="C149" s="10"/>
      <c r="D149" s="10"/>
    </row>
    <row r="150" ht="15.75" customHeight="1">
      <c r="A150" s="9"/>
      <c r="B150" s="9"/>
      <c r="C150" s="10"/>
      <c r="D150" s="10"/>
    </row>
    <row r="151" ht="15.75" customHeight="1">
      <c r="A151" s="9"/>
      <c r="B151" s="9"/>
      <c r="C151" s="10"/>
      <c r="D151" s="10"/>
    </row>
    <row r="152" ht="15.75" customHeight="1">
      <c r="A152" s="9"/>
      <c r="B152" s="9"/>
      <c r="C152" s="10"/>
      <c r="D152" s="10"/>
    </row>
    <row r="153" ht="15.75" customHeight="1">
      <c r="A153" s="9"/>
      <c r="B153" s="9"/>
      <c r="C153" s="10"/>
      <c r="D153" s="10"/>
    </row>
    <row r="154" ht="15.75" customHeight="1">
      <c r="A154" s="9"/>
      <c r="B154" s="9"/>
      <c r="C154" s="10"/>
      <c r="D154" s="10"/>
    </row>
    <row r="155" ht="15.75" customHeight="1">
      <c r="A155" s="9"/>
      <c r="B155" s="9"/>
      <c r="C155" s="10"/>
      <c r="D155" s="10"/>
    </row>
    <row r="156" ht="15.75" customHeight="1">
      <c r="A156" s="9"/>
      <c r="B156" s="9"/>
      <c r="C156" s="10"/>
      <c r="D156" s="10"/>
    </row>
    <row r="157" ht="15.75" customHeight="1">
      <c r="A157" s="9"/>
      <c r="B157" s="9"/>
      <c r="C157" s="10"/>
      <c r="D157" s="10"/>
    </row>
    <row r="158" ht="15.75" customHeight="1">
      <c r="A158" s="9"/>
      <c r="B158" s="9"/>
      <c r="C158" s="10"/>
      <c r="D158" s="10"/>
    </row>
    <row r="159" ht="15.75" customHeight="1">
      <c r="A159" s="9"/>
      <c r="B159" s="9"/>
      <c r="C159" s="10"/>
      <c r="D159" s="10"/>
    </row>
    <row r="160" ht="15.75" customHeight="1">
      <c r="A160" s="9"/>
      <c r="B160" s="9"/>
      <c r="C160" s="10"/>
      <c r="D160" s="10"/>
    </row>
    <row r="161" ht="15.75" customHeight="1">
      <c r="A161" s="9"/>
      <c r="B161" s="9"/>
      <c r="C161" s="10"/>
      <c r="D161" s="10"/>
    </row>
    <row r="162" ht="15.75" customHeight="1">
      <c r="A162" s="9"/>
      <c r="B162" s="9"/>
      <c r="C162" s="10"/>
      <c r="D162" s="10"/>
    </row>
    <row r="163" ht="15.75" customHeight="1">
      <c r="A163" s="9"/>
      <c r="B163" s="9"/>
      <c r="C163" s="10"/>
      <c r="D163" s="10"/>
    </row>
    <row r="164" ht="15.75" customHeight="1">
      <c r="A164" s="9"/>
      <c r="B164" s="9"/>
      <c r="C164" s="10"/>
      <c r="D164" s="10"/>
    </row>
    <row r="165" ht="15.75" customHeight="1">
      <c r="A165" s="9"/>
      <c r="B165" s="9"/>
      <c r="C165" s="10"/>
      <c r="D165" s="10"/>
    </row>
    <row r="166" ht="15.75" customHeight="1">
      <c r="A166" s="9"/>
      <c r="B166" s="9"/>
      <c r="C166" s="10"/>
      <c r="D166" s="10"/>
    </row>
    <row r="167" ht="15.75" customHeight="1">
      <c r="A167" s="9"/>
      <c r="B167" s="9"/>
      <c r="C167" s="10"/>
      <c r="D167" s="10"/>
    </row>
    <row r="168" ht="15.75" customHeight="1">
      <c r="A168" s="9"/>
      <c r="B168" s="9"/>
      <c r="C168" s="10"/>
      <c r="D168" s="10"/>
    </row>
    <row r="169" ht="15.75" customHeight="1">
      <c r="A169" s="9"/>
      <c r="B169" s="9"/>
      <c r="C169" s="10"/>
      <c r="D169" s="10"/>
    </row>
    <row r="170" ht="15.75" customHeight="1">
      <c r="A170" s="9"/>
      <c r="B170" s="9"/>
      <c r="C170" s="10"/>
      <c r="D170" s="10"/>
    </row>
    <row r="171" ht="15.75" customHeight="1">
      <c r="A171" s="9"/>
      <c r="B171" s="9"/>
      <c r="C171" s="10"/>
      <c r="D171" s="10"/>
    </row>
    <row r="172" ht="15.75" customHeight="1">
      <c r="A172" s="9"/>
      <c r="B172" s="9"/>
      <c r="C172" s="10"/>
      <c r="D172" s="10"/>
    </row>
    <row r="173" ht="15.75" customHeight="1">
      <c r="A173" s="9"/>
      <c r="B173" s="9"/>
      <c r="C173" s="10"/>
      <c r="D173" s="10"/>
    </row>
    <row r="174" ht="15.75" customHeight="1">
      <c r="A174" s="9"/>
      <c r="B174" s="9"/>
      <c r="C174" s="10"/>
      <c r="D174" s="10"/>
    </row>
    <row r="175" ht="15.75" customHeight="1">
      <c r="A175" s="9"/>
      <c r="B175" s="9"/>
      <c r="C175" s="10"/>
      <c r="D175" s="10"/>
    </row>
    <row r="176" ht="15.75" customHeight="1">
      <c r="A176" s="9"/>
      <c r="B176" s="9"/>
      <c r="C176" s="10"/>
      <c r="D176" s="10"/>
    </row>
    <row r="177" ht="15.75" customHeight="1">
      <c r="A177" s="9"/>
      <c r="B177" s="9"/>
      <c r="C177" s="10"/>
      <c r="D177" s="10"/>
    </row>
    <row r="178" ht="15.75" customHeight="1">
      <c r="A178" s="9"/>
      <c r="B178" s="9"/>
      <c r="C178" s="10"/>
      <c r="D178" s="10"/>
    </row>
    <row r="179" ht="15.75" customHeight="1">
      <c r="A179" s="9"/>
      <c r="B179" s="9"/>
      <c r="C179" s="10"/>
      <c r="D179" s="10"/>
    </row>
    <row r="180" ht="15.75" customHeight="1">
      <c r="A180" s="9"/>
      <c r="B180" s="9"/>
      <c r="C180" s="10"/>
      <c r="D180" s="10"/>
    </row>
    <row r="181" ht="15.75" customHeight="1">
      <c r="A181" s="9"/>
      <c r="B181" s="9"/>
      <c r="C181" s="10"/>
      <c r="D181" s="10"/>
    </row>
    <row r="182" ht="15.75" customHeight="1">
      <c r="A182" s="9"/>
      <c r="B182" s="9"/>
      <c r="C182" s="10"/>
      <c r="D182" s="10"/>
    </row>
    <row r="183" ht="15.75" customHeight="1">
      <c r="A183" s="9"/>
      <c r="B183" s="9"/>
      <c r="C183" s="10"/>
      <c r="D183" s="10"/>
    </row>
    <row r="184" ht="15.75" customHeight="1">
      <c r="A184" s="9"/>
      <c r="B184" s="9"/>
      <c r="C184" s="10"/>
      <c r="D184" s="10"/>
    </row>
    <row r="185" ht="15.75" customHeight="1">
      <c r="A185" s="9"/>
      <c r="B185" s="9"/>
      <c r="C185" s="10"/>
      <c r="D185" s="10"/>
    </row>
    <row r="186" ht="15.75" customHeight="1">
      <c r="A186" s="9"/>
      <c r="B186" s="9"/>
      <c r="C186" s="10"/>
      <c r="D186" s="10"/>
    </row>
    <row r="187" ht="15.75" customHeight="1">
      <c r="A187" s="9"/>
      <c r="B187" s="9"/>
      <c r="C187" s="10"/>
      <c r="D187" s="10"/>
    </row>
    <row r="188" ht="15.75" customHeight="1">
      <c r="A188" s="9"/>
      <c r="B188" s="9"/>
      <c r="C188" s="10"/>
      <c r="D188" s="10"/>
    </row>
    <row r="189" ht="15.75" customHeight="1">
      <c r="A189" s="9"/>
      <c r="B189" s="9"/>
      <c r="C189" s="10"/>
      <c r="D189" s="10"/>
    </row>
    <row r="190" ht="15.75" customHeight="1">
      <c r="A190" s="9"/>
      <c r="B190" s="9"/>
      <c r="C190" s="10"/>
      <c r="D190" s="10"/>
    </row>
    <row r="191" ht="15.75" customHeight="1">
      <c r="A191" s="9"/>
      <c r="B191" s="9"/>
      <c r="C191" s="10"/>
      <c r="D191" s="10"/>
    </row>
    <row r="192" ht="15.75" customHeight="1">
      <c r="A192" s="9"/>
      <c r="B192" s="9"/>
      <c r="C192" s="10"/>
      <c r="D192" s="10"/>
    </row>
    <row r="193" ht="15.75" customHeight="1">
      <c r="A193" s="9"/>
      <c r="B193" s="9"/>
      <c r="C193" s="10"/>
      <c r="D193" s="10"/>
    </row>
    <row r="194" ht="15.75" customHeight="1">
      <c r="A194" s="9"/>
      <c r="B194" s="9"/>
      <c r="C194" s="10"/>
      <c r="D194" s="10"/>
    </row>
    <row r="195" ht="15.75" customHeight="1">
      <c r="A195" s="9"/>
      <c r="B195" s="9"/>
      <c r="C195" s="10"/>
      <c r="D195" s="10"/>
    </row>
    <row r="196" ht="15.75" customHeight="1">
      <c r="A196" s="9"/>
      <c r="B196" s="9"/>
      <c r="C196" s="10"/>
      <c r="D196" s="10"/>
    </row>
    <row r="197" ht="15.75" customHeight="1">
      <c r="A197" s="9"/>
      <c r="B197" s="9"/>
      <c r="C197" s="10"/>
      <c r="D197" s="10"/>
    </row>
    <row r="198" ht="15.75" customHeight="1">
      <c r="A198" s="9"/>
      <c r="B198" s="9"/>
      <c r="C198" s="10"/>
      <c r="D198" s="10"/>
    </row>
    <row r="199" ht="15.75" customHeight="1">
      <c r="A199" s="9"/>
      <c r="B199" s="9"/>
      <c r="C199" s="10"/>
      <c r="D199" s="10"/>
    </row>
    <row r="200" ht="15.75" customHeight="1">
      <c r="A200" s="9"/>
      <c r="B200" s="9"/>
      <c r="C200" s="10"/>
      <c r="D200" s="10"/>
    </row>
    <row r="201" ht="15.75" customHeight="1">
      <c r="A201" s="9"/>
      <c r="B201" s="9"/>
      <c r="C201" s="10"/>
      <c r="D201" s="10"/>
    </row>
    <row r="202" ht="15.75" customHeight="1">
      <c r="A202" s="9"/>
      <c r="B202" s="9"/>
      <c r="C202" s="10"/>
      <c r="D202" s="10"/>
    </row>
    <row r="203" ht="15.75" customHeight="1">
      <c r="A203" s="9"/>
      <c r="B203" s="9"/>
      <c r="C203" s="10"/>
      <c r="D203" s="10"/>
    </row>
    <row r="204" ht="15.75" customHeight="1">
      <c r="A204" s="9"/>
      <c r="B204" s="9"/>
      <c r="C204" s="10"/>
      <c r="D204" s="10"/>
    </row>
    <row r="205" ht="15.75" customHeight="1">
      <c r="A205" s="9"/>
      <c r="B205" s="9"/>
      <c r="C205" s="10"/>
      <c r="D205" s="10"/>
    </row>
    <row r="206" ht="15.75" customHeight="1">
      <c r="A206" s="9"/>
      <c r="B206" s="9"/>
      <c r="C206" s="10"/>
      <c r="D206" s="10"/>
    </row>
    <row r="207" ht="15.75" customHeight="1">
      <c r="A207" s="9"/>
      <c r="B207" s="9"/>
      <c r="C207" s="10"/>
      <c r="D207" s="10"/>
    </row>
    <row r="208" ht="15.75" customHeight="1">
      <c r="A208" s="9"/>
      <c r="B208" s="9"/>
      <c r="C208" s="10"/>
      <c r="D208" s="10"/>
    </row>
    <row r="209" ht="15.75" customHeight="1">
      <c r="A209" s="9"/>
      <c r="B209" s="9"/>
      <c r="C209" s="10"/>
      <c r="D209" s="10"/>
    </row>
    <row r="210" ht="15.75" customHeight="1">
      <c r="A210" s="9"/>
      <c r="B210" s="9"/>
      <c r="C210" s="10"/>
      <c r="D210" s="10"/>
    </row>
    <row r="211" ht="15.75" customHeight="1">
      <c r="A211" s="9"/>
      <c r="B211" s="9"/>
      <c r="C211" s="10"/>
      <c r="D211" s="10"/>
    </row>
    <row r="212" ht="15.75" customHeight="1">
      <c r="A212" s="9"/>
      <c r="B212" s="9"/>
      <c r="C212" s="10"/>
      <c r="D212" s="10"/>
    </row>
    <row r="213" ht="15.75" customHeight="1">
      <c r="A213" s="9"/>
      <c r="B213" s="9"/>
      <c r="C213" s="10"/>
      <c r="D213" s="10"/>
    </row>
    <row r="214" ht="15.75" customHeight="1">
      <c r="A214" s="9"/>
      <c r="B214" s="9"/>
      <c r="C214" s="10"/>
      <c r="D214" s="10"/>
    </row>
    <row r="215" ht="15.75" customHeight="1">
      <c r="A215" s="9"/>
      <c r="B215" s="9"/>
      <c r="C215" s="10"/>
      <c r="D215" s="10"/>
    </row>
    <row r="216" ht="15.75" customHeight="1">
      <c r="A216" s="9"/>
      <c r="B216" s="9"/>
      <c r="C216" s="10"/>
      <c r="D216" s="10"/>
    </row>
    <row r="217" ht="15.75" customHeight="1">
      <c r="A217" s="9"/>
      <c r="B217" s="9"/>
      <c r="C217" s="10"/>
      <c r="D217" s="10"/>
    </row>
    <row r="218" ht="15.75" customHeight="1">
      <c r="A218" s="9"/>
      <c r="B218" s="9"/>
      <c r="C218" s="10"/>
      <c r="D218" s="10"/>
    </row>
    <row r="219" ht="15.75" customHeight="1">
      <c r="A219" s="9"/>
      <c r="B219" s="9"/>
      <c r="C219" s="10"/>
      <c r="D219" s="10"/>
    </row>
    <row r="220" ht="15.75" customHeight="1">
      <c r="A220" s="9"/>
      <c r="B220" s="9"/>
      <c r="C220" s="10"/>
      <c r="D220" s="10"/>
    </row>
    <row r="221" ht="15.75" customHeight="1">
      <c r="A221" s="9"/>
      <c r="B221" s="9"/>
      <c r="C221" s="10"/>
      <c r="D221" s="10"/>
    </row>
    <row r="222" ht="15.75" customHeight="1">
      <c r="A222" s="9"/>
      <c r="B222" s="9"/>
      <c r="C222" s="10"/>
      <c r="D222" s="10"/>
    </row>
    <row r="223" ht="15.75" customHeight="1">
      <c r="A223" s="9"/>
      <c r="B223" s="9"/>
      <c r="C223" s="10"/>
      <c r="D223" s="10"/>
    </row>
    <row r="224" ht="15.75" customHeight="1">
      <c r="A224" s="9"/>
      <c r="B224" s="9"/>
      <c r="C224" s="10"/>
      <c r="D224" s="10"/>
    </row>
    <row r="225" ht="15.75" customHeight="1">
      <c r="A225" s="9"/>
      <c r="B225" s="9"/>
      <c r="C225" s="10"/>
      <c r="D225" s="10"/>
    </row>
    <row r="226" ht="15.75" customHeight="1">
      <c r="A226" s="9"/>
      <c r="B226" s="9"/>
      <c r="C226" s="10"/>
      <c r="D226" s="10"/>
    </row>
    <row r="227" ht="15.75" customHeight="1">
      <c r="A227" s="9"/>
      <c r="B227" s="9"/>
      <c r="C227" s="10"/>
      <c r="D227" s="10"/>
    </row>
    <row r="228" ht="15.75" customHeight="1">
      <c r="A228" s="9"/>
      <c r="B228" s="9"/>
      <c r="C228" s="10"/>
      <c r="D228" s="10"/>
    </row>
    <row r="229" ht="15.75" customHeight="1">
      <c r="A229" s="9"/>
      <c r="B229" s="9"/>
      <c r="C229" s="10"/>
      <c r="D229" s="10"/>
    </row>
    <row r="230" ht="15.75" customHeight="1">
      <c r="A230" s="9"/>
      <c r="B230" s="9"/>
      <c r="C230" s="10"/>
      <c r="D230" s="10"/>
    </row>
    <row r="231" ht="15.75" customHeight="1">
      <c r="A231" s="9"/>
      <c r="B231" s="9"/>
      <c r="C231" s="10"/>
      <c r="D231" s="10"/>
    </row>
    <row r="232" ht="15.75" customHeight="1">
      <c r="A232" s="9"/>
      <c r="B232" s="9"/>
      <c r="C232" s="10"/>
      <c r="D232" s="10"/>
    </row>
    <row r="233" ht="15.75" customHeight="1">
      <c r="A233" s="9"/>
      <c r="B233" s="9"/>
      <c r="C233" s="10"/>
      <c r="D233" s="10"/>
    </row>
    <row r="234" ht="15.75" customHeight="1">
      <c r="A234" s="9"/>
      <c r="B234" s="9"/>
      <c r="C234" s="10"/>
      <c r="D234" s="10"/>
    </row>
    <row r="235" ht="15.75" customHeight="1">
      <c r="A235" s="9"/>
      <c r="B235" s="9"/>
      <c r="C235" s="10"/>
      <c r="D235" s="10"/>
    </row>
    <row r="236" ht="15.75" customHeight="1">
      <c r="A236" s="9"/>
      <c r="B236" s="9"/>
      <c r="C236" s="10"/>
      <c r="D236" s="10"/>
    </row>
    <row r="237" ht="15.75" customHeight="1">
      <c r="A237" s="9"/>
      <c r="B237" s="9"/>
      <c r="C237" s="10"/>
      <c r="D237" s="10"/>
    </row>
    <row r="238" ht="15.75" customHeight="1">
      <c r="A238" s="9"/>
      <c r="B238" s="9"/>
      <c r="C238" s="10"/>
      <c r="D238" s="10"/>
    </row>
    <row r="239" ht="15.75" customHeight="1">
      <c r="A239" s="9"/>
      <c r="B239" s="9"/>
      <c r="C239" s="10"/>
      <c r="D239" s="10"/>
    </row>
    <row r="240" ht="15.75" customHeight="1">
      <c r="A240" s="9"/>
      <c r="B240" s="9"/>
      <c r="C240" s="10"/>
      <c r="D240" s="10"/>
    </row>
    <row r="241" ht="15.75" customHeight="1">
      <c r="A241" s="9"/>
      <c r="B241" s="9"/>
      <c r="C241" s="10"/>
      <c r="D241" s="10"/>
    </row>
    <row r="242" ht="15.75" customHeight="1">
      <c r="A242" s="9"/>
      <c r="B242" s="9"/>
      <c r="C242" s="10"/>
      <c r="D242" s="10"/>
    </row>
    <row r="243" ht="15.75" customHeight="1">
      <c r="A243" s="9"/>
      <c r="B243" s="9"/>
      <c r="C243" s="10"/>
      <c r="D243" s="10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000">
    <sortState ref="A1:E1000">
      <sortCondition ref="E1:E100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"/>
      <c r="B1" s="11"/>
      <c r="C1" s="11"/>
      <c r="D1" s="6" t="s">
        <v>49</v>
      </c>
    </row>
    <row r="2" ht="15.75" customHeight="1">
      <c r="A2" s="12" t="s">
        <v>50</v>
      </c>
      <c r="B2" s="12">
        <v>26.62</v>
      </c>
      <c r="C2" s="12">
        <v>6.79</v>
      </c>
      <c r="D2" s="6">
        <f>sqrt((B2-C2)^2 + (B3-C3)^2 +(B4-C4)^2 + (B5-C5)^2 + (B6-C6)^2 + (B7-C7)^2 +(B8-C8)^2 + (B9-C9)^2 + (B10-C10)^2)</f>
        <v>79.90052002</v>
      </c>
    </row>
    <row r="3" ht="15.75" customHeight="1">
      <c r="A3" s="12" t="s">
        <v>2</v>
      </c>
      <c r="B3" s="12">
        <v>84.96</v>
      </c>
      <c r="C3" s="12">
        <v>65.59</v>
      </c>
    </row>
    <row r="4" ht="15.75" customHeight="1">
      <c r="A4" s="12" t="s">
        <v>51</v>
      </c>
      <c r="B4" s="12">
        <v>35.17</v>
      </c>
      <c r="C4" s="12">
        <v>34.05</v>
      </c>
    </row>
    <row r="5" ht="15.75" customHeight="1">
      <c r="A5" s="12" t="s">
        <v>52</v>
      </c>
      <c r="B5" s="12">
        <v>0.12</v>
      </c>
      <c r="C5" s="12">
        <v>0.0</v>
      </c>
    </row>
    <row r="6" ht="15.75" customHeight="1">
      <c r="A6" s="12" t="s">
        <v>53</v>
      </c>
      <c r="B6" s="12">
        <v>15.7</v>
      </c>
      <c r="C6" s="12">
        <v>0.0</v>
      </c>
    </row>
    <row r="7" ht="15.75" customHeight="1">
      <c r="A7" s="12" t="s">
        <v>3</v>
      </c>
      <c r="B7" s="12">
        <v>46.76</v>
      </c>
      <c r="C7" s="12">
        <v>58.0</v>
      </c>
    </row>
    <row r="8" ht="15.75" customHeight="1">
      <c r="A8" s="12" t="s">
        <v>54</v>
      </c>
      <c r="B8" s="12">
        <v>15.28</v>
      </c>
      <c r="C8" s="12">
        <v>0.0</v>
      </c>
    </row>
    <row r="9" ht="15.75" customHeight="1">
      <c r="A9" s="12" t="s">
        <v>55</v>
      </c>
      <c r="B9" s="12">
        <v>21.16</v>
      </c>
      <c r="C9" s="12">
        <v>73.5</v>
      </c>
    </row>
    <row r="10" ht="15.75" customHeight="1">
      <c r="A10" s="13" t="s">
        <v>56</v>
      </c>
      <c r="B10" s="13">
        <v>6.65</v>
      </c>
      <c r="C10" s="13">
        <v>54.28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75"/>
    <col customWidth="1" min="2" max="2" width="8.88"/>
    <col customWidth="1" min="3" max="3" width="12.88"/>
    <col customWidth="1" min="4" max="4" width="11.75"/>
    <col customWidth="1" min="5" max="5" width="11.63"/>
    <col customWidth="1" min="6" max="6" width="16.13"/>
    <col customWidth="1" min="7" max="8" width="11.63"/>
    <col customWidth="1" min="9" max="9" width="12.75"/>
    <col customWidth="1" min="10" max="11" width="11.63"/>
  </cols>
  <sheetData>
    <row r="1" ht="15.75" customHeight="1">
      <c r="A1" s="14" t="s">
        <v>11</v>
      </c>
      <c r="B1" s="14" t="s">
        <v>8</v>
      </c>
      <c r="C1" s="14">
        <v>6.29760510689451</v>
      </c>
      <c r="D1" s="14">
        <v>77.7343749999999</v>
      </c>
      <c r="E1" s="15">
        <v>50.6281407</v>
      </c>
      <c r="F1" s="14">
        <v>0.0114344262295081</v>
      </c>
      <c r="G1" s="14">
        <v>4.88036761210584</v>
      </c>
      <c r="H1" s="14">
        <v>58.9337580811393</v>
      </c>
      <c r="I1" s="14">
        <v>12.3531019404208</v>
      </c>
      <c r="J1" s="14">
        <v>87.4758789941911</v>
      </c>
      <c r="K1" s="14">
        <v>43.6837455830388</v>
      </c>
      <c r="L1" s="16">
        <f t="shared" ref="L1:L42" si="1">sqrt((C1-6.79)^2 + (D1-65.59)^2 + (E1-34.05)^2 + (F1-0)^2 + (G1-0)^2 + (H1-58)^2 + (I1-0)^2 + (J1-73.5)^2 + (K1-54.28)^2)</f>
        <v>30.12404352</v>
      </c>
      <c r="M1" s="16">
        <v>30.124043515928157</v>
      </c>
      <c r="N1" s="6">
        <v>1.0</v>
      </c>
    </row>
    <row r="2" ht="15.75" customHeight="1">
      <c r="A2" s="14" t="s">
        <v>23</v>
      </c>
      <c r="B2" s="15">
        <v>1989.0</v>
      </c>
      <c r="C2" s="15">
        <v>7.16809849</v>
      </c>
      <c r="D2" s="14">
        <v>50.0</v>
      </c>
      <c r="E2" s="14">
        <v>64.0703517587939</v>
      </c>
      <c r="F2" s="14">
        <v>1.21516393442622</v>
      </c>
      <c r="G2" s="14">
        <v>7.62161305656789</v>
      </c>
      <c r="H2" s="15">
        <v>75.573878</v>
      </c>
      <c r="I2" s="14">
        <v>13.8289150040994</v>
      </c>
      <c r="J2" s="14">
        <v>63.7823716267701</v>
      </c>
      <c r="K2" s="14">
        <v>47.9902826855123</v>
      </c>
      <c r="L2" s="16">
        <f t="shared" si="1"/>
        <v>42.8724983</v>
      </c>
      <c r="M2" s="16">
        <v>42.872498299111236</v>
      </c>
      <c r="N2" s="6">
        <v>2.0</v>
      </c>
    </row>
    <row r="3" ht="15.75" customHeight="1">
      <c r="A3" s="14" t="s">
        <v>24</v>
      </c>
      <c r="B3" s="14" t="s">
        <v>6</v>
      </c>
      <c r="C3" s="14">
        <v>32.4331326362477</v>
      </c>
      <c r="D3" s="14">
        <v>42.3828125</v>
      </c>
      <c r="E3" s="14">
        <v>40.2010050251256</v>
      </c>
      <c r="F3" s="15">
        <v>0.00971311</v>
      </c>
      <c r="G3" s="14">
        <v>17.921090160038</v>
      </c>
      <c r="H3" s="14">
        <v>52.8155157875011</v>
      </c>
      <c r="I3" s="14">
        <v>2.37769882481552</v>
      </c>
      <c r="J3" s="14">
        <v>59.6558241714743</v>
      </c>
      <c r="K3" s="14">
        <v>41.3648409893992</v>
      </c>
      <c r="L3" s="16">
        <f t="shared" si="1"/>
        <v>44.11506656</v>
      </c>
      <c r="M3" s="16">
        <v>44.11506656052559</v>
      </c>
      <c r="N3" s="6">
        <v>3.0</v>
      </c>
    </row>
    <row r="4" ht="15.75" customHeight="1">
      <c r="A4" s="14" t="s">
        <v>13</v>
      </c>
      <c r="B4" s="14" t="s">
        <v>8</v>
      </c>
      <c r="C4" s="14">
        <v>41.4489569623926</v>
      </c>
      <c r="D4" s="14">
        <v>77.7343749999999</v>
      </c>
      <c r="E4" s="14">
        <v>30.1507537688442</v>
      </c>
      <c r="F4" s="15">
        <v>0.00106557</v>
      </c>
      <c r="G4" s="14">
        <v>10.6322294406591</v>
      </c>
      <c r="H4" s="14">
        <v>48.6367469315094</v>
      </c>
      <c r="I4" s="14">
        <v>11.3418966930855</v>
      </c>
      <c r="J4" s="14">
        <v>43.975933421076</v>
      </c>
      <c r="K4" s="14">
        <v>37.8312720848056</v>
      </c>
      <c r="L4" s="16">
        <f t="shared" si="1"/>
        <v>53.24958078</v>
      </c>
      <c r="M4" s="16">
        <v>53.24958077819111</v>
      </c>
      <c r="N4" s="6">
        <v>4.0</v>
      </c>
    </row>
    <row r="5" ht="15.75" customHeight="1">
      <c r="A5" s="14" t="s">
        <v>12</v>
      </c>
      <c r="B5" s="14" t="s">
        <v>6</v>
      </c>
      <c r="C5" s="14">
        <v>48.2885478305025</v>
      </c>
      <c r="D5" s="14">
        <v>75.78125</v>
      </c>
      <c r="E5" s="15">
        <v>63.5678392</v>
      </c>
      <c r="F5" s="14">
        <v>0.471311475409836</v>
      </c>
      <c r="G5" s="15">
        <v>8.09697354</v>
      </c>
      <c r="H5" s="14">
        <v>65.3518223554764</v>
      </c>
      <c r="I5" s="14">
        <v>4.70073790653184</v>
      </c>
      <c r="J5" s="14">
        <v>71.566405747479</v>
      </c>
      <c r="K5" s="14">
        <v>73.8295053003533</v>
      </c>
      <c r="L5" s="16">
        <f t="shared" si="1"/>
        <v>56.79036157</v>
      </c>
      <c r="M5" s="16">
        <v>56.79036157385059</v>
      </c>
      <c r="N5" s="6">
        <v>5.0</v>
      </c>
    </row>
    <row r="6" ht="15.75" customHeight="1">
      <c r="A6" s="14" t="s">
        <v>38</v>
      </c>
      <c r="B6" s="15">
        <v>1989.0</v>
      </c>
      <c r="C6" s="14">
        <v>0.370995989512627</v>
      </c>
      <c r="D6" s="15">
        <v>91.015625</v>
      </c>
      <c r="E6" s="14">
        <v>63.3165829145728</v>
      </c>
      <c r="F6" s="14">
        <v>0.977459016393442</v>
      </c>
      <c r="G6" s="14">
        <v>5.32403739502455</v>
      </c>
      <c r="H6" s="14">
        <v>87.5480183640963</v>
      </c>
      <c r="I6" s="14">
        <v>6.91445750204973</v>
      </c>
      <c r="J6" s="14">
        <v>43.923485695625</v>
      </c>
      <c r="K6" s="14">
        <v>53.732332155477</v>
      </c>
      <c r="L6" s="16">
        <f t="shared" si="1"/>
        <v>58.04709248</v>
      </c>
      <c r="M6" s="16">
        <v>58.04709247837172</v>
      </c>
      <c r="N6" s="6">
        <v>6.0</v>
      </c>
    </row>
    <row r="7" ht="15.75" customHeight="1">
      <c r="A7" s="14" t="s">
        <v>5</v>
      </c>
      <c r="B7" s="14" t="s">
        <v>6</v>
      </c>
      <c r="C7" s="14">
        <v>55.5426593572857</v>
      </c>
      <c r="D7" s="15">
        <v>61.5234375</v>
      </c>
      <c r="E7" s="14">
        <v>53.3919597989949</v>
      </c>
      <c r="F7" s="15">
        <v>0.07069672</v>
      </c>
      <c r="G7" s="14">
        <v>30.4389161781017</v>
      </c>
      <c r="H7" s="14">
        <v>64.5741590930385</v>
      </c>
      <c r="I7" s="15">
        <v>5.00136649</v>
      </c>
      <c r="J7" s="14">
        <v>53.8638140381779</v>
      </c>
      <c r="K7" s="14">
        <v>56.7137809187279</v>
      </c>
      <c r="L7" s="16">
        <f t="shared" si="1"/>
        <v>64.44950794</v>
      </c>
      <c r="M7" s="16">
        <v>64.44950793605096</v>
      </c>
    </row>
    <row r="8" ht="15.75" customHeight="1">
      <c r="A8" s="14" t="s">
        <v>25</v>
      </c>
      <c r="B8" s="14" t="s">
        <v>8</v>
      </c>
      <c r="C8" s="14">
        <v>13.3651823372747</v>
      </c>
      <c r="D8" s="15">
        <v>66.2109375</v>
      </c>
      <c r="E8" s="14">
        <v>61.180904522613</v>
      </c>
      <c r="F8" s="17">
        <v>3.68852459016393E-4</v>
      </c>
      <c r="G8" s="14">
        <v>13.3259388369513</v>
      </c>
      <c r="H8" s="14">
        <v>83.4723133139698</v>
      </c>
      <c r="I8" s="14">
        <v>7.59770429078983</v>
      </c>
      <c r="J8" s="14">
        <v>21.1829436038514</v>
      </c>
      <c r="K8" s="15">
        <v>54.7261484</v>
      </c>
      <c r="L8" s="16">
        <f t="shared" si="1"/>
        <v>66.34095648</v>
      </c>
      <c r="M8" s="16">
        <v>66.34095648083937</v>
      </c>
    </row>
    <row r="9" ht="15.75" customHeight="1">
      <c r="A9" s="14" t="s">
        <v>40</v>
      </c>
      <c r="B9" s="15">
        <v>1989.0</v>
      </c>
      <c r="C9" s="14">
        <v>23.8318289687762</v>
      </c>
      <c r="D9" s="15">
        <v>58.203125</v>
      </c>
      <c r="E9" s="14">
        <v>76.2562814070351</v>
      </c>
      <c r="F9" s="15">
        <v>0.0</v>
      </c>
      <c r="G9" s="14">
        <v>22.5162414831247</v>
      </c>
      <c r="H9" s="14">
        <v>98.2853930478778</v>
      </c>
      <c r="I9" s="14">
        <v>11.4785460508335</v>
      </c>
      <c r="J9" s="14">
        <v>83.4769873234837</v>
      </c>
      <c r="K9" s="14">
        <v>51.8551236749116</v>
      </c>
      <c r="L9" s="16">
        <f t="shared" si="1"/>
        <v>67.03306193</v>
      </c>
      <c r="M9" s="16">
        <v>67.03306192701406</v>
      </c>
    </row>
    <row r="10" ht="15.75" customHeight="1">
      <c r="A10" s="14" t="s">
        <v>7</v>
      </c>
      <c r="B10" s="14" t="s">
        <v>8</v>
      </c>
      <c r="C10" s="14">
        <v>5.83126936588702</v>
      </c>
      <c r="D10" s="15">
        <v>66.2109375</v>
      </c>
      <c r="E10" s="14">
        <v>30.4020100502512</v>
      </c>
      <c r="F10" s="17">
        <v>2.11065573770491E-4</v>
      </c>
      <c r="G10" s="14">
        <v>6.82934558707019</v>
      </c>
      <c r="H10" s="15">
        <v>67.3287735</v>
      </c>
      <c r="I10" s="14">
        <v>8.82754851052199</v>
      </c>
      <c r="J10" s="14">
        <v>32.1346224258557</v>
      </c>
      <c r="K10" s="15">
        <v>0.0</v>
      </c>
      <c r="L10" s="16">
        <f t="shared" si="1"/>
        <v>69.88288066</v>
      </c>
      <c r="M10" s="16">
        <v>69.88288065932018</v>
      </c>
    </row>
    <row r="11" ht="15.75" customHeight="1">
      <c r="A11" s="14" t="s">
        <v>35</v>
      </c>
      <c r="B11" s="15">
        <v>1989.0</v>
      </c>
      <c r="C11" s="14">
        <v>24.8681306154595</v>
      </c>
      <c r="D11" s="15">
        <v>100.0</v>
      </c>
      <c r="E11" s="14">
        <v>28.0150753768844</v>
      </c>
      <c r="F11" s="15">
        <v>0.0</v>
      </c>
      <c r="G11" s="14">
        <v>8.73078751386468</v>
      </c>
      <c r="H11" s="14">
        <v>72.2289890377588</v>
      </c>
      <c r="I11" s="14">
        <v>2.9516261273572</v>
      </c>
      <c r="J11" s="14">
        <v>28.0832830296972</v>
      </c>
      <c r="K11" s="14">
        <v>20.1634275618374</v>
      </c>
      <c r="L11" s="16">
        <f t="shared" si="1"/>
        <v>71.14287592</v>
      </c>
      <c r="M11" s="16">
        <v>71.14287591523062</v>
      </c>
    </row>
    <row r="12" ht="15.75" customHeight="1">
      <c r="A12" s="14" t="s">
        <v>9</v>
      </c>
      <c r="B12" s="14" t="s">
        <v>6</v>
      </c>
      <c r="C12" s="14">
        <v>67.7710187881488</v>
      </c>
      <c r="D12" s="15">
        <v>57.421875</v>
      </c>
      <c r="E12" s="14">
        <v>68.21608040201</v>
      </c>
      <c r="F12" s="15">
        <v>0.00344262</v>
      </c>
      <c r="G12" s="14">
        <v>8.88924100776422</v>
      </c>
      <c r="H12" s="14">
        <v>60.7607982760236</v>
      </c>
      <c r="I12" s="14">
        <v>6.28587045640885</v>
      </c>
      <c r="J12" s="14">
        <v>65.6229899161825</v>
      </c>
      <c r="K12" s="14">
        <v>51.7446996466431</v>
      </c>
      <c r="L12" s="16">
        <f t="shared" si="1"/>
        <v>71.74504719</v>
      </c>
      <c r="M12" s="16">
        <v>71.74504719000807</v>
      </c>
    </row>
    <row r="13" ht="15.75" customHeight="1">
      <c r="A13" s="14" t="s">
        <v>30</v>
      </c>
      <c r="B13" s="15">
        <v>1989.0</v>
      </c>
      <c r="C13" s="15">
        <v>0.09637605</v>
      </c>
      <c r="D13" s="15">
        <v>59.375</v>
      </c>
      <c r="E13" s="15">
        <v>72.8643216</v>
      </c>
      <c r="F13" s="15">
        <v>0.00936475</v>
      </c>
      <c r="G13" s="14">
        <v>7.46315956266835</v>
      </c>
      <c r="H13" s="14">
        <v>90.9022767731659</v>
      </c>
      <c r="I13" s="14">
        <v>2.65099754031155</v>
      </c>
      <c r="J13" s="14">
        <v>21.1443499945573</v>
      </c>
      <c r="K13" s="14">
        <v>47.8798586572438</v>
      </c>
      <c r="L13" s="16">
        <f t="shared" si="1"/>
        <v>74.27883095</v>
      </c>
      <c r="M13" s="16">
        <v>74.27883095287007</v>
      </c>
    </row>
    <row r="14" ht="15.75" customHeight="1">
      <c r="A14" s="14" t="s">
        <v>28</v>
      </c>
      <c r="B14" s="15">
        <v>1989.0</v>
      </c>
      <c r="C14" s="14">
        <v>1.55134356508492</v>
      </c>
      <c r="D14" s="15">
        <v>68.359375</v>
      </c>
      <c r="E14" s="14">
        <v>93.21608040201</v>
      </c>
      <c r="F14" s="14">
        <v>0.0203073770491803</v>
      </c>
      <c r="G14" s="15">
        <v>8.09697354</v>
      </c>
      <c r="H14" s="14">
        <v>89.16893094725</v>
      </c>
      <c r="I14" s="15">
        <v>7.43372506</v>
      </c>
      <c r="J14" s="14">
        <v>41.9759927958595</v>
      </c>
      <c r="K14" s="14">
        <v>51.3030035335689</v>
      </c>
      <c r="L14" s="16">
        <f t="shared" si="1"/>
        <v>75.03790699</v>
      </c>
      <c r="M14" s="16">
        <v>75.03790698705416</v>
      </c>
    </row>
    <row r="15" ht="15.75" customHeight="1">
      <c r="A15" s="14" t="s">
        <v>41</v>
      </c>
      <c r="B15" s="15">
        <v>1989.0</v>
      </c>
      <c r="C15" s="15">
        <v>8.70182493</v>
      </c>
      <c r="D15" s="15">
        <v>88.8671875</v>
      </c>
      <c r="E15" s="14">
        <v>65.5778894472361</v>
      </c>
      <c r="F15" s="17">
        <v>3.36065573770491E-4</v>
      </c>
      <c r="G15" s="14">
        <v>11.4244969101568</v>
      </c>
      <c r="H15" s="14">
        <v>94.2471657453387</v>
      </c>
      <c r="I15" s="14">
        <v>11.0139382344902</v>
      </c>
      <c r="J15" s="14">
        <v>20.1913847189098</v>
      </c>
      <c r="K15" s="14">
        <v>60.2473498233215</v>
      </c>
      <c r="L15" s="16">
        <f t="shared" si="1"/>
        <v>77.34721108</v>
      </c>
      <c r="M15" s="16">
        <v>77.34721108312691</v>
      </c>
    </row>
    <row r="16" ht="15.75" customHeight="1">
      <c r="A16" s="14" t="s">
        <v>10</v>
      </c>
      <c r="B16" s="14" t="s">
        <v>6</v>
      </c>
      <c r="C16" s="14">
        <v>62.0713597313906</v>
      </c>
      <c r="D16" s="15">
        <v>57.6171875</v>
      </c>
      <c r="E16" s="14">
        <v>27.7638190954773</v>
      </c>
      <c r="F16" s="18">
        <v>0.0</v>
      </c>
      <c r="G16" s="14">
        <v>6.29060370781175</v>
      </c>
      <c r="H16" s="14">
        <v>62.9532465098847</v>
      </c>
      <c r="I16" s="14">
        <v>0.327958458595244</v>
      </c>
      <c r="J16" s="15">
        <v>20.1250829</v>
      </c>
      <c r="K16" s="14">
        <v>51.3030035335689</v>
      </c>
      <c r="L16" s="16">
        <f t="shared" si="1"/>
        <v>77.98120754</v>
      </c>
      <c r="M16" s="16">
        <v>77.98120754012442</v>
      </c>
    </row>
    <row r="17" ht="15.75" customHeight="1">
      <c r="A17" s="14" t="s">
        <v>43</v>
      </c>
      <c r="B17" s="15">
        <v>1989.0</v>
      </c>
      <c r="C17" s="14">
        <v>3.83120718778822</v>
      </c>
      <c r="D17" s="14">
        <v>96.6796875</v>
      </c>
      <c r="E17" s="14">
        <v>60.0502512562814</v>
      </c>
      <c r="F17" s="17">
        <v>3.60655737704918E-4</v>
      </c>
      <c r="G17" s="14">
        <v>38.9954048486769</v>
      </c>
      <c r="H17" s="15">
        <v>100.0</v>
      </c>
      <c r="I17" s="14">
        <v>2.2683793386171</v>
      </c>
      <c r="J17" s="14">
        <v>40.9903713892709</v>
      </c>
      <c r="K17" s="14">
        <v>63.7809187279151</v>
      </c>
      <c r="L17" s="16">
        <f t="shared" si="1"/>
        <v>78.02734612</v>
      </c>
      <c r="M17" s="16">
        <v>78.02734611974927</v>
      </c>
    </row>
    <row r="18" ht="15.75" customHeight="1">
      <c r="A18" s="14" t="s">
        <v>27</v>
      </c>
      <c r="B18" s="15">
        <v>1989.0</v>
      </c>
      <c r="C18" s="14">
        <v>8.9194482730033</v>
      </c>
      <c r="D18" s="15">
        <v>68.75</v>
      </c>
      <c r="E18" s="14">
        <v>81.1557788944723</v>
      </c>
      <c r="F18" s="15">
        <v>0.00134016</v>
      </c>
      <c r="G18" s="14">
        <v>14.2766598003485</v>
      </c>
      <c r="H18" s="14">
        <v>87.7541459758268</v>
      </c>
      <c r="I18" s="14">
        <v>42.8805684613282</v>
      </c>
      <c r="J18" s="14">
        <v>93.5588255667817</v>
      </c>
      <c r="K18" s="15">
        <v>28.4452297</v>
      </c>
      <c r="L18" s="16">
        <f t="shared" si="1"/>
        <v>78.93758145</v>
      </c>
      <c r="M18" s="16">
        <v>78.93758145486235</v>
      </c>
    </row>
    <row r="19" ht="15.75" customHeight="1">
      <c r="A19" s="14" t="s">
        <v>22</v>
      </c>
      <c r="B19" s="14" t="s">
        <v>8</v>
      </c>
      <c r="C19" s="14">
        <v>71.3980745515404</v>
      </c>
      <c r="D19" s="15">
        <v>67.3828125</v>
      </c>
      <c r="E19" s="14">
        <v>26.0050251256281</v>
      </c>
      <c r="F19" s="14">
        <v>0.0105942622950819</v>
      </c>
      <c r="G19" s="14">
        <v>9.04769450166376</v>
      </c>
      <c r="H19" s="14">
        <v>35.0604328679846</v>
      </c>
      <c r="I19" s="14">
        <v>14.3755124350915</v>
      </c>
      <c r="J19" s="14">
        <v>63.5933618992014</v>
      </c>
      <c r="K19" s="14">
        <v>21.2676678445229</v>
      </c>
      <c r="L19" s="16">
        <f t="shared" si="1"/>
        <v>79.02426611</v>
      </c>
      <c r="M19" s="16">
        <v>79.02426610516618</v>
      </c>
    </row>
    <row r="20" ht="15.75" customHeight="1">
      <c r="A20" s="14" t="s">
        <v>16</v>
      </c>
      <c r="B20" s="14" t="s">
        <v>6</v>
      </c>
      <c r="C20" s="14">
        <v>71.0871840575354</v>
      </c>
      <c r="D20" s="14">
        <v>49.8046875</v>
      </c>
      <c r="E20" s="14">
        <v>32.286432160804</v>
      </c>
      <c r="F20" s="17">
        <v>4.77459016393442E-4</v>
      </c>
      <c r="G20" s="14">
        <v>0.23768024084931</v>
      </c>
      <c r="H20" s="14">
        <v>50.9978450295137</v>
      </c>
      <c r="I20" s="14">
        <v>2.54167805411314</v>
      </c>
      <c r="J20" s="15">
        <v>34.1454484</v>
      </c>
      <c r="K20" s="14">
        <v>37.7208480565371</v>
      </c>
      <c r="L20" s="16">
        <f t="shared" si="1"/>
        <v>79.15141931</v>
      </c>
      <c r="M20" s="16">
        <v>79.15141930745628</v>
      </c>
    </row>
    <row r="21" ht="15.75" customHeight="1">
      <c r="A21" s="14" t="s">
        <v>20</v>
      </c>
      <c r="B21" s="14" t="s">
        <v>8</v>
      </c>
      <c r="C21" s="14">
        <v>26.6298434148211</v>
      </c>
      <c r="D21" s="15">
        <v>84.9609375</v>
      </c>
      <c r="E21" s="14">
        <v>35.1758793969849</v>
      </c>
      <c r="F21" s="14">
        <v>0.117418032786885</v>
      </c>
      <c r="G21" s="14">
        <v>15.7027412454444</v>
      </c>
      <c r="H21" s="14">
        <v>46.7628595521409</v>
      </c>
      <c r="I21" s="14">
        <v>15.2773981962284</v>
      </c>
      <c r="J21" s="14">
        <v>21.1601832701651</v>
      </c>
      <c r="K21" s="14">
        <v>6.64752650176678</v>
      </c>
      <c r="L21" s="16">
        <f t="shared" si="1"/>
        <v>79.90426302</v>
      </c>
      <c r="M21" s="16">
        <v>79.90426301737295</v>
      </c>
    </row>
    <row r="22" ht="15.75" customHeight="1">
      <c r="A22" s="14" t="s">
        <v>34</v>
      </c>
      <c r="B22" s="15">
        <v>1989.0</v>
      </c>
      <c r="C22" s="14">
        <v>0.155445247002497</v>
      </c>
      <c r="D22" s="15">
        <v>58.59375</v>
      </c>
      <c r="E22" s="14">
        <v>79.145728643216</v>
      </c>
      <c r="F22" s="14">
        <v>0.327868852459016</v>
      </c>
      <c r="G22" s="14">
        <v>9.36460148946284</v>
      </c>
      <c r="H22" s="15">
        <v>92.8323808</v>
      </c>
      <c r="I22" s="14">
        <v>3.88084176004372</v>
      </c>
      <c r="J22" s="14">
        <v>19.2146695298506</v>
      </c>
      <c r="K22" s="14">
        <v>46.2234982332155</v>
      </c>
      <c r="L22" s="16">
        <f t="shared" si="1"/>
        <v>80.34023178</v>
      </c>
      <c r="M22" s="16">
        <v>80.3402317750621</v>
      </c>
    </row>
    <row r="23" ht="15.75" customHeight="1">
      <c r="A23" s="14" t="s">
        <v>29</v>
      </c>
      <c r="B23" s="15">
        <v>1989.0</v>
      </c>
      <c r="C23" s="14">
        <v>65.6984154947822</v>
      </c>
      <c r="D23" s="15">
        <v>34.5703125</v>
      </c>
      <c r="E23" s="14">
        <v>38.0653266331658</v>
      </c>
      <c r="F23" s="15">
        <v>0.0</v>
      </c>
      <c r="G23" s="14">
        <v>6.82934558707019</v>
      </c>
      <c r="H23" s="14">
        <v>62.8876604516068</v>
      </c>
      <c r="I23" s="14">
        <v>2.51434818256354</v>
      </c>
      <c r="J23" s="14">
        <v>67.673399107399</v>
      </c>
      <c r="K23" s="14">
        <v>5.01325088339222</v>
      </c>
      <c r="L23" s="16">
        <f t="shared" si="1"/>
        <v>83.58563427</v>
      </c>
      <c r="M23" s="16">
        <v>83.58563426675659</v>
      </c>
    </row>
    <row r="24" ht="15.75" customHeight="1">
      <c r="A24" s="14" t="s">
        <v>19</v>
      </c>
      <c r="B24" s="14" t="s">
        <v>6</v>
      </c>
      <c r="C24" s="14">
        <v>55.646289521954</v>
      </c>
      <c r="D24" s="14">
        <v>45.703125</v>
      </c>
      <c r="E24" s="14">
        <v>58.6683417085427</v>
      </c>
      <c r="F24" s="14">
        <v>0.0149180327868852</v>
      </c>
      <c r="G24" s="14">
        <v>5.4824908889241</v>
      </c>
      <c r="H24" s="14">
        <v>58.7651082169961</v>
      </c>
      <c r="I24" s="14">
        <v>2.45968843946433</v>
      </c>
      <c r="J24" s="14">
        <v>14.1856253649075</v>
      </c>
      <c r="K24" s="14">
        <v>40.3710247349823</v>
      </c>
      <c r="L24" s="16">
        <f t="shared" si="1"/>
        <v>84.47979397</v>
      </c>
      <c r="M24" s="16">
        <v>84.47979397210884</v>
      </c>
    </row>
    <row r="25" ht="15.75" customHeight="1">
      <c r="A25" s="14" t="s">
        <v>36</v>
      </c>
      <c r="B25" s="15">
        <v>1989.0</v>
      </c>
      <c r="C25" s="14">
        <v>5.70691316828502</v>
      </c>
      <c r="D25" s="15">
        <v>68.1640625</v>
      </c>
      <c r="E25" s="14">
        <v>79.0201005025125</v>
      </c>
      <c r="F25" s="15">
        <v>0.0</v>
      </c>
      <c r="G25" s="14">
        <v>14.2766598003485</v>
      </c>
      <c r="H25" s="15">
        <v>94.3127518</v>
      </c>
      <c r="I25" s="14">
        <v>38.5077890133916</v>
      </c>
      <c r="J25" s="14">
        <v>83.5333933678366</v>
      </c>
      <c r="K25" s="15">
        <v>100.0</v>
      </c>
      <c r="L25" s="16">
        <f t="shared" si="1"/>
        <v>85.00814649</v>
      </c>
      <c r="M25" s="16">
        <v>85.00814648939205</v>
      </c>
    </row>
    <row r="26" ht="15.75" customHeight="1">
      <c r="A26" s="14" t="s">
        <v>21</v>
      </c>
      <c r="B26" s="14" t="s">
        <v>8</v>
      </c>
      <c r="C26" s="14">
        <v>20.6192938640579</v>
      </c>
      <c r="D26" s="15">
        <v>88.4765625</v>
      </c>
      <c r="E26" s="14">
        <v>43.467336683417</v>
      </c>
      <c r="F26" s="15">
        <v>0.0</v>
      </c>
      <c r="G26" s="14">
        <v>37.7277768974805</v>
      </c>
      <c r="H26" s="14">
        <v>62.934507636091</v>
      </c>
      <c r="I26" s="14">
        <v>39.0543864443837</v>
      </c>
      <c r="J26" s="14">
        <v>32.9935776275815</v>
      </c>
      <c r="K26" s="14">
        <v>7.57508833922261</v>
      </c>
      <c r="L26" s="16">
        <f t="shared" si="1"/>
        <v>87.17126238</v>
      </c>
      <c r="M26" s="16">
        <v>87.17126237752588</v>
      </c>
    </row>
    <row r="27" ht="15.75" customHeight="1">
      <c r="A27" s="14" t="s">
        <v>32</v>
      </c>
      <c r="B27" s="14" t="s">
        <v>6</v>
      </c>
      <c r="C27" s="14">
        <v>78.3412955843186</v>
      </c>
      <c r="D27" s="15">
        <v>93.5546875</v>
      </c>
      <c r="E27" s="14">
        <v>25.251256281407</v>
      </c>
      <c r="F27" s="15">
        <v>0.0014918</v>
      </c>
      <c r="G27" s="14">
        <v>7.93852004436697</v>
      </c>
      <c r="H27" s="14">
        <v>79.9962522252412</v>
      </c>
      <c r="I27" s="14">
        <v>7.67969390543864</v>
      </c>
      <c r="J27" s="14">
        <v>63.6111743342602</v>
      </c>
      <c r="K27" s="14">
        <v>14.8630742049469</v>
      </c>
      <c r="L27" s="16">
        <f t="shared" si="1"/>
        <v>90.75431319</v>
      </c>
      <c r="M27" s="16">
        <v>90.75431319298673</v>
      </c>
    </row>
    <row r="28" ht="15.75" customHeight="1">
      <c r="A28" s="14" t="s">
        <v>42</v>
      </c>
      <c r="B28" s="14" t="s">
        <v>8</v>
      </c>
      <c r="C28" s="14">
        <v>57.200741991979</v>
      </c>
      <c r="D28" s="14">
        <v>71.09375</v>
      </c>
      <c r="E28" s="14">
        <v>25.251256281407</v>
      </c>
      <c r="F28" s="14">
        <v>0.264344262295081</v>
      </c>
      <c r="G28" s="14">
        <v>4.08810014260814</v>
      </c>
      <c r="H28" s="14">
        <v>13.2671226459289</v>
      </c>
      <c r="I28" s="14">
        <v>35.5015031429352</v>
      </c>
      <c r="J28" s="14">
        <v>49.8391932946077</v>
      </c>
      <c r="K28" s="14">
        <v>9.56272084805653</v>
      </c>
      <c r="L28" s="16">
        <f t="shared" si="1"/>
        <v>92.12269196</v>
      </c>
      <c r="M28" s="16">
        <v>92.12269196251181</v>
      </c>
    </row>
    <row r="29" ht="15.75" customHeight="1">
      <c r="A29" s="14" t="s">
        <v>17</v>
      </c>
      <c r="B29" s="14" t="s">
        <v>6</v>
      </c>
      <c r="C29" s="14">
        <v>91.1914360031918</v>
      </c>
      <c r="D29" s="14">
        <v>50.9765625</v>
      </c>
      <c r="E29" s="14">
        <v>19.3467336683417</v>
      </c>
      <c r="F29" s="15">
        <v>0.0</v>
      </c>
      <c r="G29" s="14">
        <v>7.62161305656789</v>
      </c>
      <c r="H29" s="14">
        <v>47.1751147756019</v>
      </c>
      <c r="I29" s="14">
        <v>2.65099754031155</v>
      </c>
      <c r="J29" s="14">
        <v>43.7819757948799</v>
      </c>
      <c r="K29" s="14">
        <v>46.6651943462897</v>
      </c>
      <c r="L29" s="16">
        <f t="shared" si="1"/>
        <v>93.14924657</v>
      </c>
      <c r="M29" s="16">
        <v>93.14924657371641</v>
      </c>
    </row>
    <row r="30" ht="15.75" customHeight="1">
      <c r="A30" s="14" t="s">
        <v>39</v>
      </c>
      <c r="B30" s="14" t="s">
        <v>8</v>
      </c>
      <c r="C30" s="14">
        <v>71.3980745515404</v>
      </c>
      <c r="D30" s="14">
        <v>71.2890625</v>
      </c>
      <c r="E30" s="14">
        <v>20.4773869346733</v>
      </c>
      <c r="F30" s="14">
        <v>0.203483606557377</v>
      </c>
      <c r="G30" s="14">
        <v>9.36460148946284</v>
      </c>
      <c r="H30" s="14">
        <v>18.7295043567881</v>
      </c>
      <c r="I30" s="14">
        <v>3.66220278764689</v>
      </c>
      <c r="J30" s="14">
        <v>33.997011469229</v>
      </c>
      <c r="K30" s="14">
        <v>17.1819787985865</v>
      </c>
      <c r="L30" s="16">
        <f t="shared" si="1"/>
        <v>94.71519646</v>
      </c>
      <c r="M30" s="16">
        <v>94.71519645725334</v>
      </c>
    </row>
    <row r="31" ht="15.75" customHeight="1">
      <c r="A31" s="14" t="s">
        <v>26</v>
      </c>
      <c r="B31" s="15">
        <v>1989.0</v>
      </c>
      <c r="C31" s="15">
        <v>0.0</v>
      </c>
      <c r="D31" s="14">
        <v>49.609375</v>
      </c>
      <c r="E31" s="14">
        <v>86.180904522613</v>
      </c>
      <c r="F31" s="15">
        <v>0.00239754</v>
      </c>
      <c r="G31" s="14">
        <v>44.2243701473617</v>
      </c>
      <c r="H31" s="14">
        <v>80.0337299728286</v>
      </c>
      <c r="I31" s="14">
        <v>3.60754304454769</v>
      </c>
      <c r="J31" s="14">
        <v>16.2182221210651</v>
      </c>
      <c r="K31" s="14">
        <v>33.7455830388692</v>
      </c>
      <c r="L31" s="16">
        <f t="shared" si="1"/>
        <v>95.79287334</v>
      </c>
      <c r="M31" s="16">
        <v>95.79287333958867</v>
      </c>
    </row>
    <row r="32" ht="15.75" customHeight="1">
      <c r="A32" s="14" t="s">
        <v>31</v>
      </c>
      <c r="B32" s="14" t="s">
        <v>6</v>
      </c>
      <c r="C32" s="15">
        <v>95.0257521</v>
      </c>
      <c r="D32" s="15">
        <v>68.1640625</v>
      </c>
      <c r="E32" s="14">
        <v>14.572864321608</v>
      </c>
      <c r="F32" s="15">
        <v>0.00354508</v>
      </c>
      <c r="G32" s="14">
        <v>5.37157344319442</v>
      </c>
      <c r="H32" s="14">
        <v>24.1169305724725</v>
      </c>
      <c r="I32" s="14">
        <v>18.4476632959825</v>
      </c>
      <c r="J32" s="14">
        <v>73.66629392497</v>
      </c>
      <c r="K32" s="14">
        <v>33.303886925795</v>
      </c>
      <c r="L32" s="16">
        <f t="shared" si="1"/>
        <v>100.64189</v>
      </c>
      <c r="M32" s="16">
        <v>100.64188999988116</v>
      </c>
    </row>
    <row r="33" ht="15.75" customHeight="1">
      <c r="A33" s="14" t="s">
        <v>37</v>
      </c>
      <c r="B33" s="14" t="s">
        <v>6</v>
      </c>
      <c r="C33" s="14">
        <v>83.4191736530669</v>
      </c>
      <c r="D33" s="14">
        <v>30.859375</v>
      </c>
      <c r="E33" s="14">
        <v>13.4422110552763</v>
      </c>
      <c r="F33" s="15">
        <v>0.0</v>
      </c>
      <c r="G33" s="14">
        <v>2.69370939629218</v>
      </c>
      <c r="H33" s="14">
        <v>45.4417689496861</v>
      </c>
      <c r="I33" s="14">
        <v>2.48701831101393</v>
      </c>
      <c r="J33" s="14">
        <v>53.6926167456681</v>
      </c>
      <c r="K33" s="14">
        <v>8.12720848056537</v>
      </c>
      <c r="L33" s="16">
        <f t="shared" si="1"/>
        <v>100.9776739</v>
      </c>
      <c r="M33" s="16">
        <v>100.97767390248809</v>
      </c>
    </row>
    <row r="34" ht="15.75" customHeight="1">
      <c r="A34" s="14" t="s">
        <v>14</v>
      </c>
      <c r="B34" s="14" t="s">
        <v>6</v>
      </c>
      <c r="C34" s="14">
        <v>93.1604091318901</v>
      </c>
      <c r="D34" s="15">
        <v>58.203125</v>
      </c>
      <c r="E34" s="14">
        <v>41.7085427135678</v>
      </c>
      <c r="F34" s="15">
        <v>0.00553279</v>
      </c>
      <c r="G34" s="15">
        <v>5.24481065</v>
      </c>
      <c r="H34" s="14">
        <v>44.139417221025</v>
      </c>
      <c r="I34" s="15">
        <v>0.90188576</v>
      </c>
      <c r="J34" s="14">
        <v>19.12263861538</v>
      </c>
      <c r="K34" s="14">
        <v>41.6961130742049</v>
      </c>
      <c r="L34" s="16">
        <f t="shared" si="1"/>
        <v>104.4449886</v>
      </c>
      <c r="M34" s="16">
        <v>104.44498856311412</v>
      </c>
    </row>
    <row r="35" ht="15.75" customHeight="1">
      <c r="A35" s="14" t="s">
        <v>15</v>
      </c>
      <c r="B35" s="14" t="s">
        <v>6</v>
      </c>
      <c r="C35" s="14">
        <v>86.7353389224535</v>
      </c>
      <c r="D35" s="14">
        <v>69.3359375</v>
      </c>
      <c r="E35" s="14">
        <v>37.1859296482412</v>
      </c>
      <c r="F35" s="14">
        <v>0.0158401639344262</v>
      </c>
      <c r="G35" s="14">
        <v>7.93852004436697</v>
      </c>
      <c r="H35" s="14">
        <v>40.6352478216059</v>
      </c>
      <c r="I35" s="15">
        <v>8.44493031</v>
      </c>
      <c r="J35" s="14">
        <v>7.74939883031676</v>
      </c>
      <c r="K35" s="14">
        <v>45.5609540636042</v>
      </c>
      <c r="L35" s="16">
        <f t="shared" si="1"/>
        <v>106.0667641</v>
      </c>
      <c r="M35" s="16">
        <v>106.06676412391263</v>
      </c>
    </row>
    <row r="36" ht="15.75" customHeight="1">
      <c r="A36" s="14" t="s">
        <v>18</v>
      </c>
      <c r="B36" s="14" t="s">
        <v>8</v>
      </c>
      <c r="C36" s="14">
        <v>7.49971501704716</v>
      </c>
      <c r="D36" s="15">
        <v>67.1875</v>
      </c>
      <c r="E36" s="14">
        <v>58.2914572864321</v>
      </c>
      <c r="F36" s="15">
        <v>0.0</v>
      </c>
      <c r="G36" s="14">
        <v>67.3585802566946</v>
      </c>
      <c r="H36" s="14">
        <v>78.6002061276117</v>
      </c>
      <c r="I36" s="14">
        <v>11.6151954085815</v>
      </c>
      <c r="J36" s="14">
        <v>14.2677604821232</v>
      </c>
      <c r="K36" s="14">
        <v>6.57022968197879</v>
      </c>
      <c r="L36" s="16">
        <f t="shared" si="1"/>
        <v>107.1066941</v>
      </c>
      <c r="M36" s="16">
        <v>107.10669412414887</v>
      </c>
    </row>
    <row r="37" ht="15.75" customHeight="1">
      <c r="A37" s="14" t="s">
        <v>44</v>
      </c>
      <c r="B37" s="14" t="s">
        <v>6</v>
      </c>
      <c r="C37" s="15">
        <v>100.0</v>
      </c>
      <c r="D37" s="14">
        <v>71.09375</v>
      </c>
      <c r="E37" s="14">
        <v>3.14070351758793</v>
      </c>
      <c r="F37" s="17">
        <v>7.90983606557377E-4</v>
      </c>
      <c r="G37" s="14">
        <v>11.8998573918554</v>
      </c>
      <c r="H37" s="14">
        <v>3.88831631218964</v>
      </c>
      <c r="I37" s="14">
        <v>4.75539764963104</v>
      </c>
      <c r="J37" s="14">
        <v>42.7666669965265</v>
      </c>
      <c r="K37" s="14">
        <v>43.2420494699646</v>
      </c>
      <c r="L37" s="16">
        <f t="shared" si="1"/>
        <v>117.6114314</v>
      </c>
      <c r="M37" s="16">
        <v>117.61143144870725</v>
      </c>
    </row>
    <row r="38" ht="15.75" customHeight="1">
      <c r="A38" s="14" t="s">
        <v>46</v>
      </c>
      <c r="B38" s="14" t="s">
        <v>6</v>
      </c>
      <c r="C38" s="14">
        <v>75.646911302942</v>
      </c>
      <c r="D38" s="14">
        <v>10.9374999999999</v>
      </c>
      <c r="E38" s="14">
        <v>13.9447236180904</v>
      </c>
      <c r="F38" s="15">
        <v>0.08237705</v>
      </c>
      <c r="G38" s="15">
        <v>4.42085248</v>
      </c>
      <c r="H38" s="14">
        <v>16.771292045348</v>
      </c>
      <c r="I38" s="14">
        <v>1.09319486198414</v>
      </c>
      <c r="J38" s="14">
        <v>18.4230057494581</v>
      </c>
      <c r="K38" s="14">
        <v>8.34805653710247</v>
      </c>
      <c r="L38" s="16">
        <f t="shared" si="1"/>
        <v>122.4588217</v>
      </c>
      <c r="M38" s="16">
        <v>122.45882169946674</v>
      </c>
    </row>
    <row r="39" ht="15.75" customHeight="1">
      <c r="A39" s="14" t="s">
        <v>48</v>
      </c>
      <c r="B39" s="14" t="s">
        <v>8</v>
      </c>
      <c r="C39" s="14">
        <v>99.7927396706633</v>
      </c>
      <c r="D39" s="14">
        <v>7.6171875</v>
      </c>
      <c r="E39" s="15">
        <v>0.0</v>
      </c>
      <c r="F39" s="14">
        <v>0.0158196721311475</v>
      </c>
      <c r="G39" s="14">
        <v>9.04769450166376</v>
      </c>
      <c r="H39" s="14">
        <v>5.25625409912864</v>
      </c>
      <c r="I39" s="14">
        <v>7.57037441924022</v>
      </c>
      <c r="J39" s="15">
        <v>100.0</v>
      </c>
      <c r="K39" s="14">
        <v>38.9355123674911</v>
      </c>
      <c r="L39" s="16">
        <f t="shared" si="1"/>
        <v>130.4934355</v>
      </c>
      <c r="M39" s="16">
        <v>130.49343547732266</v>
      </c>
    </row>
    <row r="40" ht="15.75" customHeight="1">
      <c r="A40" s="14" t="s">
        <v>45</v>
      </c>
      <c r="B40" s="14" t="s">
        <v>6</v>
      </c>
      <c r="C40" s="14">
        <v>80.5175290423536</v>
      </c>
      <c r="D40" s="15">
        <v>0.0</v>
      </c>
      <c r="E40" s="14">
        <v>28.1407035175879</v>
      </c>
      <c r="F40" s="15">
        <v>0.01151639</v>
      </c>
      <c r="G40" s="15">
        <v>8.25542703</v>
      </c>
      <c r="H40" s="15">
        <v>66.0920079</v>
      </c>
      <c r="I40" s="14">
        <v>1.25717409128177</v>
      </c>
      <c r="J40" s="15">
        <v>0.0</v>
      </c>
      <c r="K40" s="14">
        <v>12.6545936395759</v>
      </c>
      <c r="L40" s="16">
        <f t="shared" si="1"/>
        <v>130.5482829</v>
      </c>
      <c r="M40" s="16">
        <v>130.548282887608</v>
      </c>
    </row>
    <row r="41" ht="15.75" customHeight="1">
      <c r="A41" s="14" t="s">
        <v>33</v>
      </c>
      <c r="B41" s="14" t="s">
        <v>8</v>
      </c>
      <c r="C41" s="14">
        <v>17.8212794180129</v>
      </c>
      <c r="D41" s="15">
        <v>97.65625</v>
      </c>
      <c r="E41" s="14">
        <v>15.2010050251256</v>
      </c>
      <c r="F41" s="14">
        <v>0.0107581967213114</v>
      </c>
      <c r="G41" s="14">
        <v>9.998415465061</v>
      </c>
      <c r="H41" s="14">
        <v>41.0756113557575</v>
      </c>
      <c r="I41" s="15">
        <v>100.0</v>
      </c>
      <c r="J41" s="14">
        <v>4.19977635498203</v>
      </c>
      <c r="K41" s="14">
        <v>13.86925795053</v>
      </c>
      <c r="L41" s="16">
        <f t="shared" si="1"/>
        <v>135.3778806</v>
      </c>
      <c r="M41" s="16">
        <v>135.37788059721595</v>
      </c>
    </row>
    <row r="42" ht="15.75" customHeight="1">
      <c r="A42" s="14" t="s">
        <v>47</v>
      </c>
      <c r="B42" s="14" t="s">
        <v>8</v>
      </c>
      <c r="C42" s="14">
        <v>81.2429401950319</v>
      </c>
      <c r="D42" s="14">
        <v>21.09375</v>
      </c>
      <c r="E42" s="14">
        <v>18.8442211055276</v>
      </c>
      <c r="F42" s="15">
        <v>100.0</v>
      </c>
      <c r="G42" s="14">
        <v>10.1568689589605</v>
      </c>
      <c r="H42" s="15">
        <v>0.0</v>
      </c>
      <c r="I42" s="14">
        <v>7.54304454769062</v>
      </c>
      <c r="J42" s="14">
        <v>34.0534175135819</v>
      </c>
      <c r="K42" s="14">
        <v>9.34187279151943</v>
      </c>
      <c r="L42" s="16">
        <f t="shared" si="1"/>
        <v>157.6511971</v>
      </c>
      <c r="M42" s="16">
        <v>157.65119706014409</v>
      </c>
    </row>
    <row r="43" ht="15.75" customHeight="1">
      <c r="A43" s="19" t="s">
        <v>0</v>
      </c>
      <c r="B43" s="19" t="s">
        <v>1</v>
      </c>
      <c r="C43" s="19" t="s">
        <v>50</v>
      </c>
      <c r="D43" s="19" t="s">
        <v>2</v>
      </c>
      <c r="E43" s="19" t="s">
        <v>51</v>
      </c>
      <c r="F43" s="19" t="s">
        <v>52</v>
      </c>
      <c r="G43" s="19" t="s">
        <v>53</v>
      </c>
      <c r="H43" s="19" t="s">
        <v>3</v>
      </c>
      <c r="I43" s="19" t="s">
        <v>54</v>
      </c>
      <c r="J43" s="19" t="s">
        <v>55</v>
      </c>
      <c r="K43" s="19" t="s">
        <v>56</v>
      </c>
      <c r="L43" s="3" t="s">
        <v>4</v>
      </c>
      <c r="M43" s="3" t="s">
        <v>4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20" t="s">
        <v>57</v>
      </c>
      <c r="B44" s="14"/>
      <c r="C44" s="20">
        <v>6.79</v>
      </c>
      <c r="D44" s="21">
        <v>65.59</v>
      </c>
      <c r="E44" s="20">
        <v>34.05</v>
      </c>
      <c r="F44" s="20">
        <v>0.0</v>
      </c>
      <c r="G44" s="20">
        <v>0.0</v>
      </c>
      <c r="H44" s="20">
        <v>58.0</v>
      </c>
      <c r="I44" s="20">
        <v>0.0</v>
      </c>
      <c r="J44" s="20">
        <v>73.5</v>
      </c>
      <c r="K44" s="20">
        <v>54.28</v>
      </c>
      <c r="L44" s="16"/>
      <c r="M44" s="16"/>
    </row>
    <row r="45" ht="15.75" customHeight="1">
      <c r="A45" s="14"/>
      <c r="B45" s="14"/>
      <c r="C45" s="15"/>
      <c r="D45" s="14"/>
      <c r="E45" s="15"/>
      <c r="F45" s="14"/>
      <c r="G45" s="15"/>
      <c r="H45" s="14"/>
      <c r="I45" s="14"/>
      <c r="J45" s="14"/>
      <c r="K45" s="14"/>
    </row>
    <row r="46" ht="15.75" customHeight="1">
      <c r="A46" s="14"/>
      <c r="B46" s="14"/>
      <c r="C46" s="14"/>
      <c r="D46" s="15"/>
      <c r="E46" s="14"/>
      <c r="F46" s="14"/>
      <c r="G46" s="15"/>
      <c r="H46" s="14"/>
      <c r="I46" s="14"/>
      <c r="J46" s="14"/>
      <c r="K46" s="14"/>
    </row>
    <row r="47" ht="15.75" customHeight="1">
      <c r="A47" s="14"/>
      <c r="B47" s="14"/>
      <c r="C47" s="15"/>
      <c r="D47" s="15"/>
      <c r="E47" s="14"/>
      <c r="F47" s="15"/>
      <c r="G47" s="15"/>
      <c r="H47" s="14"/>
      <c r="I47" s="15"/>
      <c r="J47" s="14"/>
      <c r="K47" s="14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4" t="s">
        <v>28</v>
      </c>
      <c r="B1" s="15">
        <v>1989.0</v>
      </c>
      <c r="C1" s="14">
        <v>1.55134356508492</v>
      </c>
      <c r="D1" s="15">
        <v>68.359375</v>
      </c>
      <c r="E1" s="14">
        <v>93.21608040201</v>
      </c>
      <c r="F1" s="14">
        <v>0.0203073770491803</v>
      </c>
      <c r="G1" s="15">
        <v>8.09697354</v>
      </c>
      <c r="H1" s="14">
        <v>89.16893094725</v>
      </c>
      <c r="I1" s="15">
        <v>7.43372506</v>
      </c>
      <c r="J1" s="14">
        <v>41.9759927958595</v>
      </c>
      <c r="K1" s="14">
        <v>51.3030035335689</v>
      </c>
      <c r="L1" s="16">
        <f t="shared" ref="L1:L42" si="1">sqrt((C1-9.25)^2 + (D1-26.32)^2 + (E1-100)^2 + (F1-17.56)^2 + (G1-8.75)^2 + (H1-95.18)^2 + (I1-7.71)^2 + (J1-49.51)^2 + (K1-64.77)^2)</f>
        <v>49.54793361</v>
      </c>
      <c r="M1" s="16">
        <v>49.54793360624479</v>
      </c>
      <c r="N1" s="6">
        <v>1.0</v>
      </c>
    </row>
    <row r="2" ht="15.75" customHeight="1">
      <c r="A2" s="14" t="s">
        <v>23</v>
      </c>
      <c r="B2" s="15">
        <v>1989.0</v>
      </c>
      <c r="C2" s="15">
        <v>7.16809849</v>
      </c>
      <c r="D2" s="14">
        <v>50.0</v>
      </c>
      <c r="E2" s="14">
        <v>64.0703517587939</v>
      </c>
      <c r="F2" s="14">
        <v>1.21516393442622</v>
      </c>
      <c r="G2" s="14">
        <v>7.62161305656789</v>
      </c>
      <c r="H2" s="15">
        <v>75.573878</v>
      </c>
      <c r="I2" s="14">
        <v>13.8289150040994</v>
      </c>
      <c r="J2" s="14">
        <v>63.7823716267701</v>
      </c>
      <c r="K2" s="14">
        <v>47.9902826855123</v>
      </c>
      <c r="L2" s="16">
        <f t="shared" si="1"/>
        <v>55.05945791</v>
      </c>
      <c r="M2" s="16">
        <v>55.05945791098711</v>
      </c>
      <c r="N2" s="6">
        <v>2.0</v>
      </c>
    </row>
    <row r="3" ht="15.75" customHeight="1">
      <c r="A3" s="14" t="s">
        <v>34</v>
      </c>
      <c r="B3" s="15">
        <v>1989.0</v>
      </c>
      <c r="C3" s="14">
        <v>0.155445247002497</v>
      </c>
      <c r="D3" s="15">
        <v>58.59375</v>
      </c>
      <c r="E3" s="14">
        <v>79.145728643216</v>
      </c>
      <c r="F3" s="14">
        <v>0.327868852459016</v>
      </c>
      <c r="G3" s="14">
        <v>9.36460148946284</v>
      </c>
      <c r="H3" s="15">
        <v>92.8323808</v>
      </c>
      <c r="I3" s="14">
        <v>3.88084176004372</v>
      </c>
      <c r="J3" s="14">
        <v>19.2146695298506</v>
      </c>
      <c r="K3" s="14">
        <v>46.2234982332155</v>
      </c>
      <c r="L3" s="16">
        <f t="shared" si="1"/>
        <v>56.02217528</v>
      </c>
      <c r="M3" s="16">
        <v>56.02217527669548</v>
      </c>
      <c r="N3" s="6">
        <v>3.0</v>
      </c>
    </row>
    <row r="4" ht="15.75" customHeight="1">
      <c r="A4" s="14" t="s">
        <v>30</v>
      </c>
      <c r="B4" s="15">
        <v>1989.0</v>
      </c>
      <c r="C4" s="15">
        <v>0.09637605</v>
      </c>
      <c r="D4" s="15">
        <v>59.375</v>
      </c>
      <c r="E4" s="15">
        <v>72.8643216</v>
      </c>
      <c r="F4" s="15">
        <v>0.00936475</v>
      </c>
      <c r="G4" s="14">
        <v>7.46315956266835</v>
      </c>
      <c r="H4" s="14">
        <v>90.9022767731659</v>
      </c>
      <c r="I4" s="14">
        <v>2.65099754031155</v>
      </c>
      <c r="J4" s="14">
        <v>21.1443499945573</v>
      </c>
      <c r="K4" s="14">
        <v>47.8798586572438</v>
      </c>
      <c r="L4" s="16">
        <f t="shared" si="1"/>
        <v>57.93295307</v>
      </c>
      <c r="M4" s="16">
        <v>57.932953069371656</v>
      </c>
      <c r="N4" s="6">
        <v>4.0</v>
      </c>
    </row>
    <row r="5" ht="15.75" customHeight="1">
      <c r="A5" s="14" t="s">
        <v>40</v>
      </c>
      <c r="B5" s="15">
        <v>1989.0</v>
      </c>
      <c r="C5" s="14">
        <v>23.8318289687762</v>
      </c>
      <c r="D5" s="15">
        <v>58.203125</v>
      </c>
      <c r="E5" s="14">
        <v>76.2562814070351</v>
      </c>
      <c r="F5" s="15">
        <v>0.0</v>
      </c>
      <c r="G5" s="14">
        <v>22.5162414831247</v>
      </c>
      <c r="H5" s="14">
        <v>98.2853930478778</v>
      </c>
      <c r="I5" s="14">
        <v>11.4785460508335</v>
      </c>
      <c r="J5" s="14">
        <v>83.4769873234837</v>
      </c>
      <c r="K5" s="14">
        <v>51.8551236749116</v>
      </c>
      <c r="L5" s="16">
        <f t="shared" si="1"/>
        <v>60.29250564</v>
      </c>
      <c r="M5" s="16">
        <v>60.29250564273281</v>
      </c>
      <c r="N5" s="6">
        <v>5.0</v>
      </c>
    </row>
    <row r="6" ht="15.75" customHeight="1">
      <c r="A6" s="14" t="s">
        <v>25</v>
      </c>
      <c r="B6" s="14" t="s">
        <v>8</v>
      </c>
      <c r="C6" s="14">
        <v>13.3651823372747</v>
      </c>
      <c r="D6" s="15">
        <v>66.2109375</v>
      </c>
      <c r="E6" s="14">
        <v>61.180904522613</v>
      </c>
      <c r="F6" s="17">
        <v>3.68852459016393E-4</v>
      </c>
      <c r="G6" s="14">
        <v>13.3259388369513</v>
      </c>
      <c r="H6" s="14">
        <v>83.4723133139698</v>
      </c>
      <c r="I6" s="14">
        <v>7.59770429078983</v>
      </c>
      <c r="J6" s="14">
        <v>21.1829436038514</v>
      </c>
      <c r="K6" s="15">
        <v>54.7261484</v>
      </c>
      <c r="L6" s="16">
        <f t="shared" si="1"/>
        <v>66.96870368</v>
      </c>
      <c r="M6" s="16">
        <v>66.96870368430005</v>
      </c>
      <c r="N6" s="6">
        <v>6.0</v>
      </c>
    </row>
    <row r="7" ht="15.75" customHeight="1">
      <c r="A7" s="14" t="s">
        <v>26</v>
      </c>
      <c r="B7" s="15">
        <v>1989.0</v>
      </c>
      <c r="C7" s="15">
        <v>0.0</v>
      </c>
      <c r="D7" s="14">
        <v>49.609375</v>
      </c>
      <c r="E7" s="14">
        <v>86.180904522613</v>
      </c>
      <c r="F7" s="15">
        <v>0.00239754</v>
      </c>
      <c r="G7" s="14">
        <v>44.2243701473617</v>
      </c>
      <c r="H7" s="14">
        <v>80.0337299728286</v>
      </c>
      <c r="I7" s="14">
        <v>3.60754304454769</v>
      </c>
      <c r="J7" s="14">
        <v>16.2182221210651</v>
      </c>
      <c r="K7" s="14">
        <v>33.7455830388692</v>
      </c>
      <c r="L7" s="16">
        <f t="shared" si="1"/>
        <v>68.5763939</v>
      </c>
      <c r="M7" s="16">
        <v>68.5763938985199</v>
      </c>
    </row>
    <row r="8" ht="15.75" customHeight="1">
      <c r="A8" s="14" t="s">
        <v>36</v>
      </c>
      <c r="B8" s="15">
        <v>1989.0</v>
      </c>
      <c r="C8" s="14">
        <v>5.70691316828502</v>
      </c>
      <c r="D8" s="15">
        <v>68.1640625</v>
      </c>
      <c r="E8" s="14">
        <v>79.0201005025125</v>
      </c>
      <c r="F8" s="15">
        <v>0.0</v>
      </c>
      <c r="G8" s="14">
        <v>14.2766598003485</v>
      </c>
      <c r="H8" s="15">
        <v>94.3127518</v>
      </c>
      <c r="I8" s="14">
        <v>38.5077890133916</v>
      </c>
      <c r="J8" s="14">
        <v>83.5333933678366</v>
      </c>
      <c r="K8" s="15">
        <v>100.0</v>
      </c>
      <c r="L8" s="16">
        <f t="shared" si="1"/>
        <v>76.74980721</v>
      </c>
      <c r="M8" s="16">
        <v>76.74980720556097</v>
      </c>
    </row>
    <row r="9" ht="15.75" customHeight="1">
      <c r="A9" s="14" t="s">
        <v>38</v>
      </c>
      <c r="B9" s="15">
        <v>1989.0</v>
      </c>
      <c r="C9" s="14">
        <v>0.370995989512627</v>
      </c>
      <c r="D9" s="15">
        <v>91.015625</v>
      </c>
      <c r="E9" s="14">
        <v>63.3165829145728</v>
      </c>
      <c r="F9" s="14">
        <v>0.977459016393442</v>
      </c>
      <c r="G9" s="14">
        <v>5.32403739502455</v>
      </c>
      <c r="H9" s="14">
        <v>87.5480183640963</v>
      </c>
      <c r="I9" s="14">
        <v>6.91445750204973</v>
      </c>
      <c r="J9" s="14">
        <v>43.923485695625</v>
      </c>
      <c r="K9" s="14">
        <v>53.732332155477</v>
      </c>
      <c r="L9" s="16">
        <f t="shared" si="1"/>
        <v>78.15798658</v>
      </c>
      <c r="M9" s="16">
        <v>78.15798657681626</v>
      </c>
    </row>
    <row r="10" ht="15.75" customHeight="1">
      <c r="A10" s="14" t="s">
        <v>41</v>
      </c>
      <c r="B10" s="15">
        <v>1989.0</v>
      </c>
      <c r="C10" s="15">
        <v>8.70182493</v>
      </c>
      <c r="D10" s="15">
        <v>88.8671875</v>
      </c>
      <c r="E10" s="14">
        <v>65.5778894472361</v>
      </c>
      <c r="F10" s="17">
        <v>3.36065573770491E-4</v>
      </c>
      <c r="G10" s="14">
        <v>11.4244969101568</v>
      </c>
      <c r="H10" s="14">
        <v>94.2471657453387</v>
      </c>
      <c r="I10" s="14">
        <v>11.0139382344902</v>
      </c>
      <c r="J10" s="14">
        <v>20.1913847189098</v>
      </c>
      <c r="K10" s="14">
        <v>60.2473498233215</v>
      </c>
      <c r="L10" s="16">
        <f t="shared" si="1"/>
        <v>79.40182202</v>
      </c>
      <c r="M10" s="16">
        <v>79.40182202199037</v>
      </c>
    </row>
    <row r="11" ht="15.75" customHeight="1">
      <c r="A11" s="14" t="s">
        <v>27</v>
      </c>
      <c r="B11" s="15">
        <v>1989.0</v>
      </c>
      <c r="C11" s="14">
        <v>8.9194482730033</v>
      </c>
      <c r="D11" s="15">
        <v>68.75</v>
      </c>
      <c r="E11" s="14">
        <v>81.1557788944723</v>
      </c>
      <c r="F11" s="15">
        <v>0.00134016</v>
      </c>
      <c r="G11" s="14">
        <v>14.2766598003485</v>
      </c>
      <c r="H11" s="14">
        <v>87.7541459758268</v>
      </c>
      <c r="I11" s="14">
        <v>42.8805684613282</v>
      </c>
      <c r="J11" s="14">
        <v>93.5588255667817</v>
      </c>
      <c r="K11" s="15">
        <v>28.4452297</v>
      </c>
      <c r="L11" s="16">
        <f t="shared" si="1"/>
        <v>83.94206039</v>
      </c>
      <c r="M11" s="16">
        <v>83.94206038980506</v>
      </c>
    </row>
    <row r="12" ht="15.75" customHeight="1">
      <c r="A12" s="14" t="s">
        <v>12</v>
      </c>
      <c r="B12" s="14" t="s">
        <v>6</v>
      </c>
      <c r="C12" s="14">
        <v>48.2885478305025</v>
      </c>
      <c r="D12" s="14">
        <v>75.78125</v>
      </c>
      <c r="E12" s="15">
        <v>63.5678392</v>
      </c>
      <c r="F12" s="14">
        <v>0.471311475409836</v>
      </c>
      <c r="G12" s="15">
        <v>8.09697354</v>
      </c>
      <c r="H12" s="14">
        <v>65.3518223554764</v>
      </c>
      <c r="I12" s="14">
        <v>4.70073790653184</v>
      </c>
      <c r="J12" s="14">
        <v>71.566405747479</v>
      </c>
      <c r="K12" s="14">
        <v>73.8295053003533</v>
      </c>
      <c r="L12" s="16">
        <f t="shared" si="1"/>
        <v>84.0089938</v>
      </c>
      <c r="M12" s="16">
        <v>84.00899379594368</v>
      </c>
    </row>
    <row r="13" ht="15.75" customHeight="1">
      <c r="A13" s="14" t="s">
        <v>24</v>
      </c>
      <c r="B13" s="14" t="s">
        <v>6</v>
      </c>
      <c r="C13" s="14">
        <v>32.4331326362477</v>
      </c>
      <c r="D13" s="14">
        <v>42.3828125</v>
      </c>
      <c r="E13" s="14">
        <v>40.2010050251256</v>
      </c>
      <c r="F13" s="15">
        <v>0.00971311</v>
      </c>
      <c r="G13" s="14">
        <v>17.921090160038</v>
      </c>
      <c r="H13" s="14">
        <v>52.8155157875011</v>
      </c>
      <c r="I13" s="14">
        <v>2.37769882481552</v>
      </c>
      <c r="J13" s="14">
        <v>59.6558241714743</v>
      </c>
      <c r="K13" s="14">
        <v>41.3648409893992</v>
      </c>
      <c r="L13" s="16">
        <f t="shared" si="1"/>
        <v>85.07311575</v>
      </c>
      <c r="M13" s="16">
        <v>85.07311575188625</v>
      </c>
    </row>
    <row r="14" ht="15.75" customHeight="1">
      <c r="A14" s="14" t="s">
        <v>9</v>
      </c>
      <c r="B14" s="14" t="s">
        <v>6</v>
      </c>
      <c r="C14" s="14">
        <v>67.7710187881488</v>
      </c>
      <c r="D14" s="15">
        <v>57.421875</v>
      </c>
      <c r="E14" s="14">
        <v>68.21608040201</v>
      </c>
      <c r="F14" s="15">
        <v>0.00344262</v>
      </c>
      <c r="G14" s="14">
        <v>8.88924100776422</v>
      </c>
      <c r="H14" s="14">
        <v>60.7607982760236</v>
      </c>
      <c r="I14" s="14">
        <v>6.28587045640885</v>
      </c>
      <c r="J14" s="14">
        <v>65.6229899161825</v>
      </c>
      <c r="K14" s="14">
        <v>51.7446996466431</v>
      </c>
      <c r="L14" s="16">
        <f t="shared" si="1"/>
        <v>85.59499047</v>
      </c>
      <c r="M14" s="16">
        <v>85.59499047393092</v>
      </c>
    </row>
    <row r="15" ht="15.75" customHeight="1">
      <c r="A15" s="14" t="s">
        <v>5</v>
      </c>
      <c r="B15" s="14" t="s">
        <v>6</v>
      </c>
      <c r="C15" s="14">
        <v>55.5426593572857</v>
      </c>
      <c r="D15" s="15">
        <v>61.5234375</v>
      </c>
      <c r="E15" s="14">
        <v>53.3919597989949</v>
      </c>
      <c r="F15" s="15">
        <v>0.07069672</v>
      </c>
      <c r="G15" s="14">
        <v>30.4389161781017</v>
      </c>
      <c r="H15" s="14">
        <v>64.5741590930385</v>
      </c>
      <c r="I15" s="15">
        <v>5.00136649</v>
      </c>
      <c r="J15" s="14">
        <v>53.8638140381779</v>
      </c>
      <c r="K15" s="14">
        <v>56.7137809187279</v>
      </c>
      <c r="L15" s="16">
        <f t="shared" si="1"/>
        <v>85.78344306</v>
      </c>
      <c r="M15" s="16">
        <v>85.78344306125376</v>
      </c>
    </row>
    <row r="16" ht="15.75" customHeight="1">
      <c r="A16" s="14" t="s">
        <v>19</v>
      </c>
      <c r="B16" s="14" t="s">
        <v>6</v>
      </c>
      <c r="C16" s="14">
        <v>55.646289521954</v>
      </c>
      <c r="D16" s="14">
        <v>45.703125</v>
      </c>
      <c r="E16" s="14">
        <v>58.6683417085427</v>
      </c>
      <c r="F16" s="14">
        <v>0.0149180327868852</v>
      </c>
      <c r="G16" s="14">
        <v>5.4824908889241</v>
      </c>
      <c r="H16" s="14">
        <v>58.7651082169961</v>
      </c>
      <c r="I16" s="14">
        <v>2.45968843946433</v>
      </c>
      <c r="J16" s="14">
        <v>14.1856253649075</v>
      </c>
      <c r="K16" s="14">
        <v>40.3710247349823</v>
      </c>
      <c r="L16" s="16">
        <f t="shared" si="1"/>
        <v>88.04467765</v>
      </c>
      <c r="M16" s="16">
        <v>88.04467765125543</v>
      </c>
    </row>
    <row r="17" ht="15.75" customHeight="1">
      <c r="A17" s="14" t="s">
        <v>43</v>
      </c>
      <c r="B17" s="15">
        <v>1989.0</v>
      </c>
      <c r="C17" s="14">
        <v>3.83120718778822</v>
      </c>
      <c r="D17" s="14">
        <v>96.6796875</v>
      </c>
      <c r="E17" s="14">
        <v>60.0502512562814</v>
      </c>
      <c r="F17" s="17">
        <v>3.60655737704918E-4</v>
      </c>
      <c r="G17" s="14">
        <v>38.9954048486769</v>
      </c>
      <c r="H17" s="15">
        <v>100.0</v>
      </c>
      <c r="I17" s="14">
        <v>2.2683793386171</v>
      </c>
      <c r="J17" s="14">
        <v>40.9903713892709</v>
      </c>
      <c r="K17" s="14">
        <v>63.7809187279151</v>
      </c>
      <c r="L17" s="16">
        <f t="shared" si="1"/>
        <v>89.02450675</v>
      </c>
      <c r="M17" s="16">
        <v>89.02450675255913</v>
      </c>
    </row>
    <row r="18" ht="15.75" customHeight="1">
      <c r="A18" s="14" t="s">
        <v>11</v>
      </c>
      <c r="B18" s="14" t="s">
        <v>8</v>
      </c>
      <c r="C18" s="14">
        <v>6.29760510689451</v>
      </c>
      <c r="D18" s="14">
        <v>77.7343749999999</v>
      </c>
      <c r="E18" s="15">
        <v>50.6281407</v>
      </c>
      <c r="F18" s="14">
        <v>0.0114344262295081</v>
      </c>
      <c r="G18" s="14">
        <v>4.88036761210584</v>
      </c>
      <c r="H18" s="14">
        <v>58.9337580811393</v>
      </c>
      <c r="I18" s="14">
        <v>12.3531019404208</v>
      </c>
      <c r="J18" s="14">
        <v>87.4758789941911</v>
      </c>
      <c r="K18" s="14">
        <v>43.6837455830388</v>
      </c>
      <c r="L18" s="16">
        <f t="shared" si="1"/>
        <v>92.91957723</v>
      </c>
      <c r="M18" s="16">
        <v>92.91957723486962</v>
      </c>
    </row>
    <row r="19" ht="15.75" customHeight="1">
      <c r="A19" s="14" t="s">
        <v>10</v>
      </c>
      <c r="B19" s="14" t="s">
        <v>6</v>
      </c>
      <c r="C19" s="14">
        <v>62.0713597313906</v>
      </c>
      <c r="D19" s="15">
        <v>57.6171875</v>
      </c>
      <c r="E19" s="14">
        <v>27.7638190954773</v>
      </c>
      <c r="F19" s="18">
        <v>0.0</v>
      </c>
      <c r="G19" s="14">
        <v>6.29060370781175</v>
      </c>
      <c r="H19" s="14">
        <v>62.9532465098847</v>
      </c>
      <c r="I19" s="14">
        <v>0.327958458595244</v>
      </c>
      <c r="J19" s="15">
        <v>20.1250829</v>
      </c>
      <c r="K19" s="14">
        <v>51.3030035335689</v>
      </c>
      <c r="L19" s="16">
        <f t="shared" si="1"/>
        <v>106.9577934</v>
      </c>
      <c r="M19" s="16">
        <v>106.9577934313742</v>
      </c>
    </row>
    <row r="20" ht="15.75" customHeight="1">
      <c r="A20" s="14" t="s">
        <v>13</v>
      </c>
      <c r="B20" s="14" t="s">
        <v>8</v>
      </c>
      <c r="C20" s="14">
        <v>41.4489569623926</v>
      </c>
      <c r="D20" s="14">
        <v>77.7343749999999</v>
      </c>
      <c r="E20" s="14">
        <v>30.1507537688442</v>
      </c>
      <c r="F20" s="15">
        <v>0.00106557</v>
      </c>
      <c r="G20" s="14">
        <v>10.6322294406591</v>
      </c>
      <c r="H20" s="14">
        <v>48.6367469315094</v>
      </c>
      <c r="I20" s="14">
        <v>11.3418966930855</v>
      </c>
      <c r="J20" s="14">
        <v>43.975933421076</v>
      </c>
      <c r="K20" s="14">
        <v>37.8312720848056</v>
      </c>
      <c r="L20" s="16">
        <f t="shared" si="1"/>
        <v>108.6589756</v>
      </c>
      <c r="M20" s="16">
        <v>108.65897563260583</v>
      </c>
    </row>
    <row r="21" ht="15.75" customHeight="1">
      <c r="A21" s="14" t="s">
        <v>7</v>
      </c>
      <c r="B21" s="14" t="s">
        <v>8</v>
      </c>
      <c r="C21" s="14">
        <v>5.83126936588702</v>
      </c>
      <c r="D21" s="15">
        <v>66.2109375</v>
      </c>
      <c r="E21" s="14">
        <v>30.4020100502512</v>
      </c>
      <c r="F21" s="17">
        <v>2.11065573770491E-4</v>
      </c>
      <c r="G21" s="14">
        <v>6.82934558707019</v>
      </c>
      <c r="H21" s="15">
        <v>67.3287735</v>
      </c>
      <c r="I21" s="14">
        <v>8.82754851052199</v>
      </c>
      <c r="J21" s="14">
        <v>32.1346224258557</v>
      </c>
      <c r="K21" s="15">
        <v>0.0</v>
      </c>
      <c r="L21" s="16">
        <f t="shared" si="1"/>
        <v>109.6945135</v>
      </c>
      <c r="M21" s="16">
        <v>109.69451352592853</v>
      </c>
    </row>
    <row r="22" ht="15.75" customHeight="1">
      <c r="A22" s="14" t="s">
        <v>18</v>
      </c>
      <c r="B22" s="14" t="s">
        <v>8</v>
      </c>
      <c r="C22" s="14">
        <v>7.49971501704716</v>
      </c>
      <c r="D22" s="15">
        <v>67.1875</v>
      </c>
      <c r="E22" s="14">
        <v>58.2914572864321</v>
      </c>
      <c r="F22" s="15">
        <v>0.0</v>
      </c>
      <c r="G22" s="14">
        <v>67.3585802566946</v>
      </c>
      <c r="H22" s="14">
        <v>78.6002061276117</v>
      </c>
      <c r="I22" s="14">
        <v>11.6151954085815</v>
      </c>
      <c r="J22" s="14">
        <v>14.2677604821232</v>
      </c>
      <c r="K22" s="14">
        <v>6.57022968197879</v>
      </c>
      <c r="L22" s="16">
        <f t="shared" si="1"/>
        <v>109.8886104</v>
      </c>
      <c r="M22" s="16">
        <v>109.88861040209031</v>
      </c>
    </row>
    <row r="23" ht="15.75" customHeight="1">
      <c r="A23" s="14" t="s">
        <v>16</v>
      </c>
      <c r="B23" s="14" t="s">
        <v>6</v>
      </c>
      <c r="C23" s="14">
        <v>71.0871840575354</v>
      </c>
      <c r="D23" s="14">
        <v>49.8046875</v>
      </c>
      <c r="E23" s="14">
        <v>32.286432160804</v>
      </c>
      <c r="F23" s="17">
        <v>4.77459016393442E-4</v>
      </c>
      <c r="G23" s="14">
        <v>0.23768024084931</v>
      </c>
      <c r="H23" s="14">
        <v>50.9978450295137</v>
      </c>
      <c r="I23" s="14">
        <v>2.54167805411314</v>
      </c>
      <c r="J23" s="15">
        <v>34.1454484</v>
      </c>
      <c r="K23" s="14">
        <v>37.7208480565371</v>
      </c>
      <c r="L23" s="16">
        <f t="shared" si="1"/>
        <v>110.8503135</v>
      </c>
      <c r="M23" s="16">
        <v>110.85031350656124</v>
      </c>
    </row>
    <row r="24" ht="15.75" customHeight="1">
      <c r="A24" s="14" t="s">
        <v>29</v>
      </c>
      <c r="B24" s="15">
        <v>1989.0</v>
      </c>
      <c r="C24" s="14">
        <v>65.6984154947822</v>
      </c>
      <c r="D24" s="15">
        <v>34.5703125</v>
      </c>
      <c r="E24" s="14">
        <v>38.0653266331658</v>
      </c>
      <c r="F24" s="15">
        <v>0.0</v>
      </c>
      <c r="G24" s="14">
        <v>6.82934558707019</v>
      </c>
      <c r="H24" s="14">
        <v>62.8876604516068</v>
      </c>
      <c r="I24" s="14">
        <v>2.51434818256354</v>
      </c>
      <c r="J24" s="14">
        <v>67.673399107399</v>
      </c>
      <c r="K24" s="14">
        <v>5.01325088339222</v>
      </c>
      <c r="L24" s="16">
        <f t="shared" si="1"/>
        <v>111.2340131</v>
      </c>
      <c r="M24" s="16">
        <v>111.23401309889971</v>
      </c>
    </row>
    <row r="25" ht="15.75" customHeight="1">
      <c r="A25" s="14" t="s">
        <v>21</v>
      </c>
      <c r="B25" s="14" t="s">
        <v>8</v>
      </c>
      <c r="C25" s="14">
        <v>20.6192938640579</v>
      </c>
      <c r="D25" s="15">
        <v>88.4765625</v>
      </c>
      <c r="E25" s="14">
        <v>43.467336683417</v>
      </c>
      <c r="F25" s="15">
        <v>0.0</v>
      </c>
      <c r="G25" s="14">
        <v>37.7277768974805</v>
      </c>
      <c r="H25" s="14">
        <v>62.934507636091</v>
      </c>
      <c r="I25" s="14">
        <v>39.0543864443837</v>
      </c>
      <c r="J25" s="14">
        <v>32.9935776275815</v>
      </c>
      <c r="K25" s="14">
        <v>7.57508833922261</v>
      </c>
      <c r="L25" s="16">
        <f t="shared" si="1"/>
        <v>117.9109781</v>
      </c>
      <c r="M25" s="16">
        <v>117.91097806228235</v>
      </c>
    </row>
    <row r="26" ht="15.75" customHeight="1">
      <c r="A26" s="14" t="s">
        <v>35</v>
      </c>
      <c r="B26" s="15">
        <v>1989.0</v>
      </c>
      <c r="C26" s="14">
        <v>24.8681306154595</v>
      </c>
      <c r="D26" s="15">
        <v>100.0</v>
      </c>
      <c r="E26" s="14">
        <v>28.0150753768844</v>
      </c>
      <c r="F26" s="15">
        <v>0.0</v>
      </c>
      <c r="G26" s="14">
        <v>8.73078751386468</v>
      </c>
      <c r="H26" s="14">
        <v>72.2289890377588</v>
      </c>
      <c r="I26" s="14">
        <v>2.9516261273572</v>
      </c>
      <c r="J26" s="14">
        <v>28.0832830296972</v>
      </c>
      <c r="K26" s="14">
        <v>20.1634275618374</v>
      </c>
      <c r="L26" s="16">
        <f t="shared" si="1"/>
        <v>119.0003919</v>
      </c>
      <c r="M26" s="16">
        <v>119.00039191928776</v>
      </c>
    </row>
    <row r="27" ht="15.75" customHeight="1">
      <c r="A27" s="14" t="s">
        <v>20</v>
      </c>
      <c r="B27" s="14" t="s">
        <v>8</v>
      </c>
      <c r="C27" s="14">
        <v>26.6298434148211</v>
      </c>
      <c r="D27" s="15">
        <v>84.9609375</v>
      </c>
      <c r="E27" s="14">
        <v>35.1758793969849</v>
      </c>
      <c r="F27" s="14">
        <v>0.117418032786885</v>
      </c>
      <c r="G27" s="14">
        <v>15.7027412454444</v>
      </c>
      <c r="H27" s="14">
        <v>46.7628595521409</v>
      </c>
      <c r="I27" s="14">
        <v>15.2773981962284</v>
      </c>
      <c r="J27" s="14">
        <v>21.1601832701651</v>
      </c>
      <c r="K27" s="14">
        <v>6.64752650176678</v>
      </c>
      <c r="L27" s="16">
        <f t="shared" si="1"/>
        <v>121.9794591</v>
      </c>
      <c r="M27" s="16">
        <v>121.97945907095158</v>
      </c>
    </row>
    <row r="28" ht="15.75" customHeight="1">
      <c r="A28" s="14" t="s">
        <v>14</v>
      </c>
      <c r="B28" s="14" t="s">
        <v>6</v>
      </c>
      <c r="C28" s="14">
        <v>93.1604091318901</v>
      </c>
      <c r="D28" s="15">
        <v>58.203125</v>
      </c>
      <c r="E28" s="14">
        <v>41.7085427135678</v>
      </c>
      <c r="F28" s="15">
        <v>0.00553279</v>
      </c>
      <c r="G28" s="15">
        <v>5.24481065</v>
      </c>
      <c r="H28" s="14">
        <v>44.139417221025</v>
      </c>
      <c r="I28" s="15">
        <v>0.90188576</v>
      </c>
      <c r="J28" s="14">
        <v>19.12263861538</v>
      </c>
      <c r="K28" s="14">
        <v>41.6961130742049</v>
      </c>
      <c r="L28" s="16">
        <f t="shared" si="1"/>
        <v>126.0282412</v>
      </c>
      <c r="M28" s="16">
        <v>126.02824121654338</v>
      </c>
    </row>
    <row r="29" ht="15.75" customHeight="1">
      <c r="A29" s="14" t="s">
        <v>17</v>
      </c>
      <c r="B29" s="14" t="s">
        <v>6</v>
      </c>
      <c r="C29" s="14">
        <v>91.1914360031918</v>
      </c>
      <c r="D29" s="14">
        <v>50.9765625</v>
      </c>
      <c r="E29" s="14">
        <v>19.3467336683417</v>
      </c>
      <c r="F29" s="15">
        <v>0.0</v>
      </c>
      <c r="G29" s="14">
        <v>7.62161305656789</v>
      </c>
      <c r="H29" s="14">
        <v>47.1751147756019</v>
      </c>
      <c r="I29" s="14">
        <v>2.65099754031155</v>
      </c>
      <c r="J29" s="14">
        <v>43.7819757948799</v>
      </c>
      <c r="K29" s="14">
        <v>46.6651943462897</v>
      </c>
      <c r="L29" s="16">
        <f t="shared" si="1"/>
        <v>129.7211548</v>
      </c>
      <c r="M29" s="16">
        <v>129.72115477434252</v>
      </c>
    </row>
    <row r="30" ht="15.75" customHeight="1">
      <c r="A30" s="14" t="s">
        <v>22</v>
      </c>
      <c r="B30" s="14" t="s">
        <v>8</v>
      </c>
      <c r="C30" s="14">
        <v>71.3980745515404</v>
      </c>
      <c r="D30" s="15">
        <v>67.3828125</v>
      </c>
      <c r="E30" s="14">
        <v>26.0050251256281</v>
      </c>
      <c r="F30" s="14">
        <v>0.0105942622950819</v>
      </c>
      <c r="G30" s="14">
        <v>9.04769450166376</v>
      </c>
      <c r="H30" s="14">
        <v>35.0604328679846</v>
      </c>
      <c r="I30" s="14">
        <v>14.3755124350915</v>
      </c>
      <c r="J30" s="14">
        <v>63.5933618992014</v>
      </c>
      <c r="K30" s="14">
        <v>21.2676678445229</v>
      </c>
      <c r="L30" s="16">
        <f t="shared" si="1"/>
        <v>130.6960202</v>
      </c>
      <c r="M30" s="16">
        <v>130.69602023324362</v>
      </c>
    </row>
    <row r="31" ht="15.75" customHeight="1">
      <c r="A31" s="14" t="s">
        <v>15</v>
      </c>
      <c r="B31" s="14" t="s">
        <v>6</v>
      </c>
      <c r="C31" s="14">
        <v>86.7353389224535</v>
      </c>
      <c r="D31" s="14">
        <v>69.3359375</v>
      </c>
      <c r="E31" s="14">
        <v>37.1859296482412</v>
      </c>
      <c r="F31" s="14">
        <v>0.0158401639344262</v>
      </c>
      <c r="G31" s="14">
        <v>7.93852004436697</v>
      </c>
      <c r="H31" s="14">
        <v>40.6352478216059</v>
      </c>
      <c r="I31" s="15">
        <v>8.44493031</v>
      </c>
      <c r="J31" s="14">
        <v>7.74939883031676</v>
      </c>
      <c r="K31" s="14">
        <v>45.5609540636042</v>
      </c>
      <c r="L31" s="16">
        <f t="shared" si="1"/>
        <v>131.1373992</v>
      </c>
      <c r="M31" s="16">
        <v>131.13739921838393</v>
      </c>
    </row>
    <row r="32" ht="15.75" customHeight="1">
      <c r="A32" s="14" t="s">
        <v>45</v>
      </c>
      <c r="B32" s="14" t="s">
        <v>6</v>
      </c>
      <c r="C32" s="14">
        <v>80.5175290423536</v>
      </c>
      <c r="D32" s="15">
        <v>0.0</v>
      </c>
      <c r="E32" s="14">
        <v>28.1407035175879</v>
      </c>
      <c r="F32" s="15">
        <v>0.01151639</v>
      </c>
      <c r="G32" s="15">
        <v>8.25542703</v>
      </c>
      <c r="H32" s="15">
        <v>66.0920079</v>
      </c>
      <c r="I32" s="14">
        <v>1.25717409128177</v>
      </c>
      <c r="J32" s="15">
        <v>0.0</v>
      </c>
      <c r="K32" s="14">
        <v>12.6545936395759</v>
      </c>
      <c r="L32" s="16">
        <f t="shared" si="1"/>
        <v>131.5247558</v>
      </c>
      <c r="M32" s="16">
        <v>131.52475581772822</v>
      </c>
    </row>
    <row r="33" ht="15.75" customHeight="1">
      <c r="A33" s="14" t="s">
        <v>32</v>
      </c>
      <c r="B33" s="14" t="s">
        <v>6</v>
      </c>
      <c r="C33" s="14">
        <v>78.3412955843186</v>
      </c>
      <c r="D33" s="15">
        <v>93.5546875</v>
      </c>
      <c r="E33" s="14">
        <v>25.251256281407</v>
      </c>
      <c r="F33" s="15">
        <v>0.0014918</v>
      </c>
      <c r="G33" s="14">
        <v>7.93852004436697</v>
      </c>
      <c r="H33" s="14">
        <v>79.9962522252412</v>
      </c>
      <c r="I33" s="14">
        <v>7.67969390543864</v>
      </c>
      <c r="J33" s="14">
        <v>63.6111743342602</v>
      </c>
      <c r="K33" s="14">
        <v>14.8630742049469</v>
      </c>
      <c r="L33" s="16">
        <f t="shared" si="1"/>
        <v>134.5753923</v>
      </c>
      <c r="M33" s="16">
        <v>134.57539225669416</v>
      </c>
    </row>
    <row r="34" ht="15.75" customHeight="1">
      <c r="A34" s="14" t="s">
        <v>37</v>
      </c>
      <c r="B34" s="14" t="s">
        <v>6</v>
      </c>
      <c r="C34" s="14">
        <v>83.4191736530669</v>
      </c>
      <c r="D34" s="14">
        <v>30.859375</v>
      </c>
      <c r="E34" s="14">
        <v>13.4422110552763</v>
      </c>
      <c r="F34" s="15">
        <v>0.0</v>
      </c>
      <c r="G34" s="14">
        <v>2.69370939629218</v>
      </c>
      <c r="H34" s="14">
        <v>45.4417689496861</v>
      </c>
      <c r="I34" s="14">
        <v>2.48701831101393</v>
      </c>
      <c r="J34" s="14">
        <v>53.6926167456681</v>
      </c>
      <c r="K34" s="14">
        <v>8.12720848056537</v>
      </c>
      <c r="L34" s="16">
        <f t="shared" si="1"/>
        <v>138.1521864</v>
      </c>
      <c r="M34" s="16">
        <v>138.15218640448109</v>
      </c>
    </row>
    <row r="35" ht="15.75" customHeight="1">
      <c r="A35" s="14" t="s">
        <v>42</v>
      </c>
      <c r="B35" s="14" t="s">
        <v>8</v>
      </c>
      <c r="C35" s="14">
        <v>57.200741991979</v>
      </c>
      <c r="D35" s="14">
        <v>71.09375</v>
      </c>
      <c r="E35" s="14">
        <v>25.251256281407</v>
      </c>
      <c r="F35" s="14">
        <v>0.264344262295081</v>
      </c>
      <c r="G35" s="14">
        <v>4.08810014260814</v>
      </c>
      <c r="H35" s="14">
        <v>13.2671226459289</v>
      </c>
      <c r="I35" s="14">
        <v>35.5015031429352</v>
      </c>
      <c r="J35" s="14">
        <v>49.8391932946077</v>
      </c>
      <c r="K35" s="14">
        <v>9.56272084805653</v>
      </c>
      <c r="L35" s="16">
        <f t="shared" si="1"/>
        <v>144.021697</v>
      </c>
      <c r="M35" s="16">
        <v>144.0216970278506</v>
      </c>
    </row>
    <row r="36" ht="15.75" customHeight="1">
      <c r="A36" s="14" t="s">
        <v>39</v>
      </c>
      <c r="B36" s="14" t="s">
        <v>8</v>
      </c>
      <c r="C36" s="14">
        <v>71.3980745515404</v>
      </c>
      <c r="D36" s="14">
        <v>71.2890625</v>
      </c>
      <c r="E36" s="14">
        <v>20.4773869346733</v>
      </c>
      <c r="F36" s="14">
        <v>0.203483606557377</v>
      </c>
      <c r="G36" s="14">
        <v>9.36460148946284</v>
      </c>
      <c r="H36" s="14">
        <v>18.7295043567881</v>
      </c>
      <c r="I36" s="14">
        <v>3.66220278764689</v>
      </c>
      <c r="J36" s="14">
        <v>33.997011469229</v>
      </c>
      <c r="K36" s="14">
        <v>17.1819787985865</v>
      </c>
      <c r="L36" s="16">
        <f t="shared" si="1"/>
        <v>144.4867041</v>
      </c>
      <c r="M36" s="16">
        <v>144.4867040908062</v>
      </c>
    </row>
    <row r="37" ht="15.75" customHeight="1">
      <c r="A37" s="14" t="s">
        <v>46</v>
      </c>
      <c r="B37" s="14" t="s">
        <v>6</v>
      </c>
      <c r="C37" s="14">
        <v>75.646911302942</v>
      </c>
      <c r="D37" s="14">
        <v>10.9374999999999</v>
      </c>
      <c r="E37" s="14">
        <v>13.9447236180904</v>
      </c>
      <c r="F37" s="15">
        <v>0.08237705</v>
      </c>
      <c r="G37" s="15">
        <v>4.42085248</v>
      </c>
      <c r="H37" s="14">
        <v>16.771292045348</v>
      </c>
      <c r="I37" s="14">
        <v>1.09319486198414</v>
      </c>
      <c r="J37" s="14">
        <v>18.4230057494581</v>
      </c>
      <c r="K37" s="14">
        <v>8.34805653710247</v>
      </c>
      <c r="L37" s="16">
        <f t="shared" si="1"/>
        <v>150.7197235</v>
      </c>
      <c r="M37" s="16">
        <v>150.71972353091647</v>
      </c>
    </row>
    <row r="38" ht="15.75" customHeight="1">
      <c r="A38" s="14" t="s">
        <v>31</v>
      </c>
      <c r="B38" s="14" t="s">
        <v>6</v>
      </c>
      <c r="C38" s="15">
        <v>95.0257521</v>
      </c>
      <c r="D38" s="15">
        <v>68.1640625</v>
      </c>
      <c r="E38" s="14">
        <v>14.572864321608</v>
      </c>
      <c r="F38" s="15">
        <v>0.00354508</v>
      </c>
      <c r="G38" s="14">
        <v>5.37157344319442</v>
      </c>
      <c r="H38" s="14">
        <v>24.1169305724725</v>
      </c>
      <c r="I38" s="14">
        <v>18.4476632959825</v>
      </c>
      <c r="J38" s="14">
        <v>73.66629392497</v>
      </c>
      <c r="K38" s="14">
        <v>33.303886925795</v>
      </c>
      <c r="L38" s="16">
        <f t="shared" si="1"/>
        <v>153.1820605</v>
      </c>
      <c r="M38" s="16">
        <v>153.1820604969928</v>
      </c>
    </row>
    <row r="39" ht="15.75" customHeight="1">
      <c r="A39" s="14" t="s">
        <v>33</v>
      </c>
      <c r="B39" s="14" t="s">
        <v>8</v>
      </c>
      <c r="C39" s="14">
        <v>17.8212794180129</v>
      </c>
      <c r="D39" s="15">
        <v>97.65625</v>
      </c>
      <c r="E39" s="14">
        <v>15.2010050251256</v>
      </c>
      <c r="F39" s="14">
        <v>0.0107581967213114</v>
      </c>
      <c r="G39" s="14">
        <v>9.998415465061</v>
      </c>
      <c r="H39" s="14">
        <v>41.0756113557575</v>
      </c>
      <c r="I39" s="15">
        <v>100.0</v>
      </c>
      <c r="J39" s="14">
        <v>4.19977635498203</v>
      </c>
      <c r="K39" s="14">
        <v>13.86925795053</v>
      </c>
      <c r="L39" s="16">
        <f t="shared" si="1"/>
        <v>169.5622666</v>
      </c>
      <c r="M39" s="16">
        <v>169.56226659027575</v>
      </c>
    </row>
    <row r="40" ht="15.75" customHeight="1">
      <c r="A40" s="14" t="s">
        <v>44</v>
      </c>
      <c r="B40" s="14" t="s">
        <v>6</v>
      </c>
      <c r="C40" s="15">
        <v>100.0</v>
      </c>
      <c r="D40" s="14">
        <v>71.09375</v>
      </c>
      <c r="E40" s="14">
        <v>3.14070351758793</v>
      </c>
      <c r="F40" s="17">
        <v>7.90983606557377E-4</v>
      </c>
      <c r="G40" s="14">
        <v>11.8998573918554</v>
      </c>
      <c r="H40" s="14">
        <v>3.88831631218964</v>
      </c>
      <c r="I40" s="14">
        <v>4.75539764963104</v>
      </c>
      <c r="J40" s="14">
        <v>42.7666669965265</v>
      </c>
      <c r="K40" s="14">
        <v>43.2420494699646</v>
      </c>
      <c r="L40" s="16">
        <f t="shared" si="1"/>
        <v>169.682198</v>
      </c>
      <c r="M40" s="16">
        <v>169.68219796615122</v>
      </c>
    </row>
    <row r="41" ht="15.75" customHeight="1">
      <c r="A41" s="14" t="s">
        <v>48</v>
      </c>
      <c r="B41" s="14" t="s">
        <v>8</v>
      </c>
      <c r="C41" s="14">
        <v>99.7927396706633</v>
      </c>
      <c r="D41" s="14">
        <v>7.6171875</v>
      </c>
      <c r="E41" s="15">
        <v>0.0</v>
      </c>
      <c r="F41" s="14">
        <v>0.0158196721311475</v>
      </c>
      <c r="G41" s="14">
        <v>9.04769450166376</v>
      </c>
      <c r="H41" s="14">
        <v>5.25625409912864</v>
      </c>
      <c r="I41" s="14">
        <v>7.57037441924022</v>
      </c>
      <c r="J41" s="15">
        <v>100.0</v>
      </c>
      <c r="K41" s="14">
        <v>38.9355123674911</v>
      </c>
      <c r="L41" s="16">
        <f t="shared" si="1"/>
        <v>173.662403</v>
      </c>
      <c r="M41" s="16">
        <v>173.66240298710107</v>
      </c>
    </row>
    <row r="42" ht="15.75" customHeight="1">
      <c r="A42" s="14" t="s">
        <v>47</v>
      </c>
      <c r="B42" s="14" t="s">
        <v>8</v>
      </c>
      <c r="C42" s="14">
        <v>81.2429401950319</v>
      </c>
      <c r="D42" s="14">
        <v>21.09375</v>
      </c>
      <c r="E42" s="14">
        <v>18.8442211055276</v>
      </c>
      <c r="F42" s="15">
        <v>100.0</v>
      </c>
      <c r="G42" s="14">
        <v>10.1568689589605</v>
      </c>
      <c r="H42" s="15">
        <v>0.0</v>
      </c>
      <c r="I42" s="14">
        <v>7.54304454769062</v>
      </c>
      <c r="J42" s="14">
        <v>34.0534175135819</v>
      </c>
      <c r="K42" s="14">
        <v>9.34187279151943</v>
      </c>
      <c r="L42" s="16">
        <f t="shared" si="1"/>
        <v>175.9696961</v>
      </c>
      <c r="M42" s="16">
        <v>175.96969613358468</v>
      </c>
    </row>
    <row r="43" ht="15.75" customHeight="1">
      <c r="A43" s="19" t="s">
        <v>0</v>
      </c>
      <c r="B43" s="19" t="s">
        <v>1</v>
      </c>
      <c r="C43" s="19" t="s">
        <v>50</v>
      </c>
      <c r="D43" s="19" t="s">
        <v>2</v>
      </c>
      <c r="E43" s="19" t="s">
        <v>51</v>
      </c>
      <c r="F43" s="19" t="s">
        <v>52</v>
      </c>
      <c r="G43" s="19" t="s">
        <v>53</v>
      </c>
      <c r="H43" s="19" t="s">
        <v>3</v>
      </c>
      <c r="I43" s="19" t="s">
        <v>54</v>
      </c>
      <c r="J43" s="19" t="s">
        <v>55</v>
      </c>
      <c r="K43" s="19" t="s">
        <v>56</v>
      </c>
      <c r="L43" s="3" t="s">
        <v>4</v>
      </c>
      <c r="M43" s="3" t="s">
        <v>4</v>
      </c>
      <c r="N43" s="3"/>
    </row>
    <row r="44" ht="15.75" customHeight="1">
      <c r="A44" s="20" t="s">
        <v>58</v>
      </c>
      <c r="B44" s="14"/>
      <c r="C44" s="20">
        <v>9.25</v>
      </c>
      <c r="D44" s="21">
        <v>26.32</v>
      </c>
      <c r="E44" s="20">
        <v>100.0</v>
      </c>
      <c r="F44" s="20">
        <v>17.56</v>
      </c>
      <c r="G44" s="20">
        <v>8.57</v>
      </c>
      <c r="H44" s="20">
        <v>95.18</v>
      </c>
      <c r="I44" s="20">
        <v>7.71</v>
      </c>
      <c r="J44" s="20">
        <v>49.51</v>
      </c>
      <c r="K44" s="20">
        <v>64.77</v>
      </c>
      <c r="L44" s="16"/>
      <c r="M44" s="16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3"/>
      <c r="M45" s="3"/>
      <c r="N45" s="3"/>
    </row>
    <row r="46" ht="15.75" customHeight="1">
      <c r="A46" s="20"/>
      <c r="B46" s="14"/>
      <c r="C46" s="20"/>
      <c r="D46" s="21"/>
      <c r="E46" s="20"/>
      <c r="F46" s="20"/>
      <c r="G46" s="20"/>
      <c r="H46" s="20"/>
      <c r="I46" s="20"/>
      <c r="J46" s="20"/>
      <c r="K46" s="20"/>
      <c r="L46" s="16"/>
      <c r="M46" s="1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4" t="s">
        <v>18</v>
      </c>
      <c r="B1" s="14" t="s">
        <v>8</v>
      </c>
      <c r="C1" s="14">
        <v>7.49971501704716</v>
      </c>
      <c r="D1" s="15">
        <v>67.1875</v>
      </c>
      <c r="E1" s="14">
        <v>58.2914572864321</v>
      </c>
      <c r="F1" s="15">
        <v>0.0</v>
      </c>
      <c r="G1" s="14">
        <v>67.3585802566946</v>
      </c>
      <c r="H1" s="14">
        <v>78.6002061276117</v>
      </c>
      <c r="I1" s="14">
        <v>11.6151954085815</v>
      </c>
      <c r="J1" s="14">
        <v>14.2677604821232</v>
      </c>
      <c r="K1" s="14">
        <v>6.57022968197879</v>
      </c>
      <c r="L1" s="16">
        <f t="shared" ref="L1:L42" si="1">sqrt((C1-3.56)^2 + (D1-10.32)^2 + (E1-37.19)^2 + (F1-0.47)^2 + (G1-100)^2 + (H1-47.39)^2 + (I1-1.8)^2 + (J1-37.48)^2 + (K1-16.74)^2)</f>
        <v>80.45517952</v>
      </c>
      <c r="M1" s="16">
        <v>80.45517952455609</v>
      </c>
      <c r="N1" s="6">
        <v>1.0</v>
      </c>
    </row>
    <row r="2" ht="15.75" customHeight="1">
      <c r="A2" s="14" t="s">
        <v>26</v>
      </c>
      <c r="B2" s="15">
        <v>1989.0</v>
      </c>
      <c r="C2" s="15">
        <v>0.0</v>
      </c>
      <c r="D2" s="14">
        <v>49.609375</v>
      </c>
      <c r="E2" s="14">
        <v>86.180904522613</v>
      </c>
      <c r="F2" s="15">
        <v>0.00239754</v>
      </c>
      <c r="G2" s="14">
        <v>44.2243701473617</v>
      </c>
      <c r="H2" s="14">
        <v>80.0337299728286</v>
      </c>
      <c r="I2" s="14">
        <v>3.60754304454769</v>
      </c>
      <c r="J2" s="14">
        <v>16.2182221210651</v>
      </c>
      <c r="K2" s="14">
        <v>33.7455830388692</v>
      </c>
      <c r="L2" s="16">
        <f t="shared" si="1"/>
        <v>94.22160168</v>
      </c>
      <c r="M2" s="16">
        <v>94.22160167825321</v>
      </c>
      <c r="N2" s="6">
        <v>2.0</v>
      </c>
    </row>
    <row r="3" ht="15.75" customHeight="1">
      <c r="A3" s="14" t="s">
        <v>24</v>
      </c>
      <c r="B3" s="14" t="s">
        <v>6</v>
      </c>
      <c r="C3" s="14">
        <v>32.4331326362477</v>
      </c>
      <c r="D3" s="14">
        <v>42.3828125</v>
      </c>
      <c r="E3" s="14">
        <v>40.2010050251256</v>
      </c>
      <c r="F3" s="15">
        <v>0.00971311</v>
      </c>
      <c r="G3" s="14">
        <v>17.921090160038</v>
      </c>
      <c r="H3" s="14">
        <v>52.8155157875011</v>
      </c>
      <c r="I3" s="14">
        <v>2.37769882481552</v>
      </c>
      <c r="J3" s="14">
        <v>59.6558241714743</v>
      </c>
      <c r="K3" s="14">
        <v>41.3648409893992</v>
      </c>
      <c r="L3" s="16">
        <f t="shared" si="1"/>
        <v>98.67029502</v>
      </c>
      <c r="M3" s="16">
        <v>98.6702950151134</v>
      </c>
      <c r="N3" s="6">
        <v>3.0</v>
      </c>
    </row>
    <row r="4" ht="15.75" customHeight="1">
      <c r="A4" s="14" t="s">
        <v>21</v>
      </c>
      <c r="B4" s="14" t="s">
        <v>8</v>
      </c>
      <c r="C4" s="14">
        <v>20.6192938640579</v>
      </c>
      <c r="D4" s="15">
        <v>88.4765625</v>
      </c>
      <c r="E4" s="14">
        <v>43.467336683417</v>
      </c>
      <c r="F4" s="15">
        <v>0.0</v>
      </c>
      <c r="G4" s="14">
        <v>37.7277768974805</v>
      </c>
      <c r="H4" s="14">
        <v>62.934507636091</v>
      </c>
      <c r="I4" s="14">
        <v>39.0543864443837</v>
      </c>
      <c r="J4" s="14">
        <v>32.9935776275815</v>
      </c>
      <c r="K4" s="14">
        <v>7.57508833922261</v>
      </c>
      <c r="L4" s="16">
        <f t="shared" si="1"/>
        <v>109.7750792</v>
      </c>
      <c r="M4" s="16">
        <v>109.7750792000315</v>
      </c>
      <c r="N4" s="6">
        <v>4.0</v>
      </c>
    </row>
    <row r="5" ht="15.75" customHeight="1">
      <c r="A5" s="14" t="s">
        <v>5</v>
      </c>
      <c r="B5" s="14" t="s">
        <v>6</v>
      </c>
      <c r="C5" s="14">
        <v>55.5426593572857</v>
      </c>
      <c r="D5" s="15">
        <v>61.5234375</v>
      </c>
      <c r="E5" s="14">
        <v>53.3919597989949</v>
      </c>
      <c r="F5" s="15">
        <v>0.07069672</v>
      </c>
      <c r="G5" s="14">
        <v>30.4389161781017</v>
      </c>
      <c r="H5" s="14">
        <v>64.5741590930385</v>
      </c>
      <c r="I5" s="15">
        <v>5.00136649</v>
      </c>
      <c r="J5" s="14">
        <v>53.8638140381779</v>
      </c>
      <c r="K5" s="14">
        <v>56.7137809187279</v>
      </c>
      <c r="L5" s="16">
        <f t="shared" si="1"/>
        <v>112.2375731</v>
      </c>
      <c r="M5" s="16">
        <v>112.2375730631282</v>
      </c>
      <c r="N5" s="6">
        <v>5.0</v>
      </c>
    </row>
    <row r="6" ht="15.75" customHeight="1">
      <c r="A6" s="14" t="s">
        <v>7</v>
      </c>
      <c r="B6" s="14" t="s">
        <v>8</v>
      </c>
      <c r="C6" s="14">
        <v>5.83126936588702</v>
      </c>
      <c r="D6" s="15">
        <v>66.2109375</v>
      </c>
      <c r="E6" s="14">
        <v>30.4020100502512</v>
      </c>
      <c r="F6" s="17">
        <v>2.11065573770491E-4</v>
      </c>
      <c r="G6" s="14">
        <v>6.82934558707019</v>
      </c>
      <c r="H6" s="15">
        <v>67.3287735</v>
      </c>
      <c r="I6" s="14">
        <v>8.82754851052199</v>
      </c>
      <c r="J6" s="14">
        <v>32.1346224258557</v>
      </c>
      <c r="K6" s="15">
        <v>0.0</v>
      </c>
      <c r="L6" s="16">
        <f t="shared" si="1"/>
        <v>112.302118</v>
      </c>
      <c r="M6" s="16">
        <v>112.30211796870942</v>
      </c>
      <c r="N6" s="6">
        <v>6.0</v>
      </c>
    </row>
    <row r="7" ht="15.75" customHeight="1">
      <c r="A7" s="14" t="s">
        <v>23</v>
      </c>
      <c r="B7" s="15">
        <v>1989.0</v>
      </c>
      <c r="C7" s="15">
        <v>7.16809849</v>
      </c>
      <c r="D7" s="14">
        <v>50.0</v>
      </c>
      <c r="E7" s="14">
        <v>64.0703517587939</v>
      </c>
      <c r="F7" s="14">
        <v>1.21516393442622</v>
      </c>
      <c r="G7" s="14">
        <v>7.62161305656789</v>
      </c>
      <c r="H7" s="15">
        <v>75.573878</v>
      </c>
      <c r="I7" s="14">
        <v>13.8289150040994</v>
      </c>
      <c r="J7" s="14">
        <v>63.7823716267701</v>
      </c>
      <c r="K7" s="14">
        <v>47.9902826855123</v>
      </c>
      <c r="L7" s="16">
        <f t="shared" si="1"/>
        <v>115.9819659</v>
      </c>
      <c r="M7" s="16">
        <v>115.98196594885583</v>
      </c>
    </row>
    <row r="8" ht="15.75" customHeight="1">
      <c r="A8" s="14" t="s">
        <v>20</v>
      </c>
      <c r="B8" s="14" t="s">
        <v>8</v>
      </c>
      <c r="C8" s="14">
        <v>26.6298434148211</v>
      </c>
      <c r="D8" s="15">
        <v>84.9609375</v>
      </c>
      <c r="E8" s="14">
        <v>35.1758793969849</v>
      </c>
      <c r="F8" s="14">
        <v>0.117418032786885</v>
      </c>
      <c r="G8" s="14">
        <v>15.7027412454444</v>
      </c>
      <c r="H8" s="14">
        <v>46.7628595521409</v>
      </c>
      <c r="I8" s="14">
        <v>15.2773981962284</v>
      </c>
      <c r="J8" s="14">
        <v>21.1601832701651</v>
      </c>
      <c r="K8" s="14">
        <v>6.64752650176678</v>
      </c>
      <c r="L8" s="16">
        <f t="shared" si="1"/>
        <v>117.3197514</v>
      </c>
      <c r="M8" s="16">
        <v>117.3197513726135</v>
      </c>
    </row>
    <row r="9" ht="15.75" customHeight="1">
      <c r="A9" s="14" t="s">
        <v>25</v>
      </c>
      <c r="B9" s="14" t="s">
        <v>8</v>
      </c>
      <c r="C9" s="14">
        <v>13.3651823372747</v>
      </c>
      <c r="D9" s="15">
        <v>66.2109375</v>
      </c>
      <c r="E9" s="14">
        <v>61.180904522613</v>
      </c>
      <c r="F9" s="17">
        <v>3.68852459016393E-4</v>
      </c>
      <c r="G9" s="14">
        <v>13.3259388369513</v>
      </c>
      <c r="H9" s="14">
        <v>83.4723133139698</v>
      </c>
      <c r="I9" s="14">
        <v>7.59770429078983</v>
      </c>
      <c r="J9" s="14">
        <v>21.1829436038514</v>
      </c>
      <c r="K9" s="15">
        <v>54.7261484</v>
      </c>
      <c r="L9" s="16">
        <f t="shared" si="1"/>
        <v>119.800683</v>
      </c>
      <c r="M9" s="16">
        <v>119.80068302642053</v>
      </c>
    </row>
    <row r="10" ht="15.75" customHeight="1">
      <c r="A10" s="14" t="s">
        <v>29</v>
      </c>
      <c r="B10" s="15">
        <v>1989.0</v>
      </c>
      <c r="C10" s="14">
        <v>65.6984154947822</v>
      </c>
      <c r="D10" s="15">
        <v>34.5703125</v>
      </c>
      <c r="E10" s="14">
        <v>38.0653266331658</v>
      </c>
      <c r="F10" s="15">
        <v>0.0</v>
      </c>
      <c r="G10" s="14">
        <v>6.82934558707019</v>
      </c>
      <c r="H10" s="14">
        <v>62.8876604516068</v>
      </c>
      <c r="I10" s="14">
        <v>2.51434818256354</v>
      </c>
      <c r="J10" s="14">
        <v>67.673399107399</v>
      </c>
      <c r="K10" s="14">
        <v>5.01325088339222</v>
      </c>
      <c r="L10" s="16">
        <f t="shared" si="1"/>
        <v>120.0869021</v>
      </c>
      <c r="M10" s="16">
        <v>120.0869020513892</v>
      </c>
    </row>
    <row r="11" ht="15.75" customHeight="1">
      <c r="A11" s="14" t="s">
        <v>19</v>
      </c>
      <c r="B11" s="14" t="s">
        <v>6</v>
      </c>
      <c r="C11" s="14">
        <v>55.646289521954</v>
      </c>
      <c r="D11" s="14">
        <v>45.703125</v>
      </c>
      <c r="E11" s="14">
        <v>58.6683417085427</v>
      </c>
      <c r="F11" s="14">
        <v>0.0149180327868852</v>
      </c>
      <c r="G11" s="14">
        <v>5.4824908889241</v>
      </c>
      <c r="H11" s="14">
        <v>58.7651082169961</v>
      </c>
      <c r="I11" s="14">
        <v>2.45968843946433</v>
      </c>
      <c r="J11" s="14">
        <v>14.1856253649075</v>
      </c>
      <c r="K11" s="14">
        <v>40.3710247349823</v>
      </c>
      <c r="L11" s="16">
        <f t="shared" si="1"/>
        <v>120.7928573</v>
      </c>
      <c r="M11" s="16">
        <v>120.79285730989842</v>
      </c>
    </row>
    <row r="12" ht="15.75" customHeight="1">
      <c r="A12" s="14" t="s">
        <v>13</v>
      </c>
      <c r="B12" s="14" t="s">
        <v>8</v>
      </c>
      <c r="C12" s="14">
        <v>41.4489569623926</v>
      </c>
      <c r="D12" s="14">
        <v>77.7343749999999</v>
      </c>
      <c r="E12" s="14">
        <v>30.1507537688442</v>
      </c>
      <c r="F12" s="15">
        <v>0.00106557</v>
      </c>
      <c r="G12" s="14">
        <v>10.6322294406591</v>
      </c>
      <c r="H12" s="14">
        <v>48.6367469315094</v>
      </c>
      <c r="I12" s="14">
        <v>11.3418966930855</v>
      </c>
      <c r="J12" s="14">
        <v>43.975933421076</v>
      </c>
      <c r="K12" s="14">
        <v>37.8312720848056</v>
      </c>
      <c r="L12" s="16">
        <f t="shared" si="1"/>
        <v>120.8150711</v>
      </c>
      <c r="M12" s="16">
        <v>120.81507107007481</v>
      </c>
    </row>
    <row r="13" ht="15.75" customHeight="1">
      <c r="A13" s="14" t="s">
        <v>30</v>
      </c>
      <c r="B13" s="15">
        <v>1989.0</v>
      </c>
      <c r="C13" s="15">
        <v>0.09637605</v>
      </c>
      <c r="D13" s="15">
        <v>59.375</v>
      </c>
      <c r="E13" s="15">
        <v>72.8643216</v>
      </c>
      <c r="F13" s="15">
        <v>0.00936475</v>
      </c>
      <c r="G13" s="14">
        <v>7.46315956266835</v>
      </c>
      <c r="H13" s="14">
        <v>90.9022767731659</v>
      </c>
      <c r="I13" s="14">
        <v>2.65099754031155</v>
      </c>
      <c r="J13" s="14">
        <v>21.1443499945573</v>
      </c>
      <c r="K13" s="14">
        <v>47.8798586572438</v>
      </c>
      <c r="L13" s="16">
        <f t="shared" si="1"/>
        <v>124.0359329</v>
      </c>
      <c r="M13" s="16">
        <v>124.03593288050286</v>
      </c>
    </row>
    <row r="14" ht="15.75" customHeight="1">
      <c r="A14" s="14" t="s">
        <v>34</v>
      </c>
      <c r="B14" s="15">
        <v>1989.0</v>
      </c>
      <c r="C14" s="14">
        <v>0.155445247002497</v>
      </c>
      <c r="D14" s="15">
        <v>58.59375</v>
      </c>
      <c r="E14" s="14">
        <v>79.145728643216</v>
      </c>
      <c r="F14" s="14">
        <v>0.327868852459016</v>
      </c>
      <c r="G14" s="14">
        <v>9.36460148946284</v>
      </c>
      <c r="H14" s="15">
        <v>92.8323808</v>
      </c>
      <c r="I14" s="14">
        <v>3.88084176004372</v>
      </c>
      <c r="J14" s="14">
        <v>19.2146695298506</v>
      </c>
      <c r="K14" s="14">
        <v>46.2234982332155</v>
      </c>
      <c r="L14" s="16">
        <f t="shared" si="1"/>
        <v>124.8569726</v>
      </c>
      <c r="M14" s="16">
        <v>124.85697258460641</v>
      </c>
    </row>
    <row r="15" ht="15.75" customHeight="1">
      <c r="A15" s="14" t="s">
        <v>46</v>
      </c>
      <c r="B15" s="14" t="s">
        <v>6</v>
      </c>
      <c r="C15" s="14">
        <v>75.646911302942</v>
      </c>
      <c r="D15" s="14">
        <v>10.9374999999999</v>
      </c>
      <c r="E15" s="14">
        <v>13.9447236180904</v>
      </c>
      <c r="F15" s="15">
        <v>0.08237705</v>
      </c>
      <c r="G15" s="15">
        <v>4.42085248</v>
      </c>
      <c r="H15" s="14">
        <v>16.771292045348</v>
      </c>
      <c r="I15" s="14">
        <v>1.09319486198414</v>
      </c>
      <c r="J15" s="14">
        <v>18.4230057494581</v>
      </c>
      <c r="K15" s="14">
        <v>8.34805653710247</v>
      </c>
      <c r="L15" s="16">
        <f t="shared" si="1"/>
        <v>127.4534003</v>
      </c>
      <c r="M15" s="16">
        <v>127.45340030374211</v>
      </c>
    </row>
    <row r="16" ht="15.75" customHeight="1">
      <c r="A16" s="14" t="s">
        <v>40</v>
      </c>
      <c r="B16" s="15">
        <v>1989.0</v>
      </c>
      <c r="C16" s="14">
        <v>23.8318289687762</v>
      </c>
      <c r="D16" s="15">
        <v>58.203125</v>
      </c>
      <c r="E16" s="14">
        <v>76.2562814070351</v>
      </c>
      <c r="F16" s="15">
        <v>0.0</v>
      </c>
      <c r="G16" s="14">
        <v>22.5162414831247</v>
      </c>
      <c r="H16" s="14">
        <v>98.2853930478778</v>
      </c>
      <c r="I16" s="14">
        <v>11.4785460508335</v>
      </c>
      <c r="J16" s="14">
        <v>83.4769873234837</v>
      </c>
      <c r="K16" s="14">
        <v>51.8551236749116</v>
      </c>
      <c r="L16" s="16">
        <f t="shared" si="1"/>
        <v>127.5408908</v>
      </c>
      <c r="M16" s="16">
        <v>127.54089080399733</v>
      </c>
    </row>
    <row r="17" ht="15.75" customHeight="1">
      <c r="A17" s="14" t="s">
        <v>10</v>
      </c>
      <c r="B17" s="14" t="s">
        <v>6</v>
      </c>
      <c r="C17" s="14">
        <v>62.0713597313906</v>
      </c>
      <c r="D17" s="15">
        <v>57.6171875</v>
      </c>
      <c r="E17" s="14">
        <v>27.7638190954773</v>
      </c>
      <c r="F17" s="18">
        <v>0.0</v>
      </c>
      <c r="G17" s="14">
        <v>6.29060370781175</v>
      </c>
      <c r="H17" s="14">
        <v>62.9532465098847</v>
      </c>
      <c r="I17" s="14">
        <v>0.327958458595244</v>
      </c>
      <c r="J17" s="15">
        <v>20.1250829</v>
      </c>
      <c r="K17" s="14">
        <v>51.3030035335689</v>
      </c>
      <c r="L17" s="16">
        <f t="shared" si="1"/>
        <v>127.5590209</v>
      </c>
      <c r="M17" s="16">
        <v>127.55902089603052</v>
      </c>
    </row>
    <row r="18" ht="15.75" customHeight="1">
      <c r="A18" s="14" t="s">
        <v>45</v>
      </c>
      <c r="B18" s="14" t="s">
        <v>6</v>
      </c>
      <c r="C18" s="14">
        <v>80.5175290423536</v>
      </c>
      <c r="D18" s="15">
        <v>0.0</v>
      </c>
      <c r="E18" s="14">
        <v>28.1407035175879</v>
      </c>
      <c r="F18" s="15">
        <v>0.01151639</v>
      </c>
      <c r="G18" s="15">
        <v>8.25542703</v>
      </c>
      <c r="H18" s="15">
        <v>66.0920079</v>
      </c>
      <c r="I18" s="14">
        <v>1.25717409128177</v>
      </c>
      <c r="J18" s="15">
        <v>0.0</v>
      </c>
      <c r="K18" s="14">
        <v>12.6545936395759</v>
      </c>
      <c r="L18" s="16">
        <f t="shared" si="1"/>
        <v>127.6700083</v>
      </c>
      <c r="M18" s="16">
        <v>127.6700083198408</v>
      </c>
    </row>
    <row r="19" ht="15.75" customHeight="1">
      <c r="A19" s="14" t="s">
        <v>16</v>
      </c>
      <c r="B19" s="14" t="s">
        <v>6</v>
      </c>
      <c r="C19" s="14">
        <v>71.0871840575354</v>
      </c>
      <c r="D19" s="14">
        <v>49.8046875</v>
      </c>
      <c r="E19" s="14">
        <v>32.286432160804</v>
      </c>
      <c r="F19" s="17">
        <v>4.77459016393442E-4</v>
      </c>
      <c r="G19" s="14">
        <v>0.23768024084931</v>
      </c>
      <c r="H19" s="14">
        <v>50.9978450295137</v>
      </c>
      <c r="I19" s="14">
        <v>2.54167805411314</v>
      </c>
      <c r="J19" s="15">
        <v>34.1454484</v>
      </c>
      <c r="K19" s="14">
        <v>37.7208480565371</v>
      </c>
      <c r="L19" s="16">
        <f t="shared" si="1"/>
        <v>128.6881069</v>
      </c>
      <c r="M19" s="16">
        <v>128.68810690210472</v>
      </c>
    </row>
    <row r="20" ht="15.75" customHeight="1">
      <c r="A20" s="14" t="s">
        <v>43</v>
      </c>
      <c r="B20" s="15">
        <v>1989.0</v>
      </c>
      <c r="C20" s="14">
        <v>3.83120718778822</v>
      </c>
      <c r="D20" s="14">
        <v>96.6796875</v>
      </c>
      <c r="E20" s="14">
        <v>60.0502512562814</v>
      </c>
      <c r="F20" s="17">
        <v>3.60655737704918E-4</v>
      </c>
      <c r="G20" s="14">
        <v>38.9954048486769</v>
      </c>
      <c r="H20" s="15">
        <v>100.0</v>
      </c>
      <c r="I20" s="14">
        <v>2.2683793386171</v>
      </c>
      <c r="J20" s="14">
        <v>40.9903713892709</v>
      </c>
      <c r="K20" s="14">
        <v>63.7809187279151</v>
      </c>
      <c r="L20" s="16">
        <f t="shared" si="1"/>
        <v>129.2116236</v>
      </c>
      <c r="M20" s="16">
        <v>129.2116236175715</v>
      </c>
    </row>
    <row r="21" ht="15.75" customHeight="1">
      <c r="A21" s="14" t="s">
        <v>37</v>
      </c>
      <c r="B21" s="14" t="s">
        <v>6</v>
      </c>
      <c r="C21" s="14">
        <v>83.4191736530669</v>
      </c>
      <c r="D21" s="14">
        <v>30.859375</v>
      </c>
      <c r="E21" s="14">
        <v>13.4422110552763</v>
      </c>
      <c r="F21" s="15">
        <v>0.0</v>
      </c>
      <c r="G21" s="14">
        <v>2.69370939629218</v>
      </c>
      <c r="H21" s="14">
        <v>45.4417689496861</v>
      </c>
      <c r="I21" s="14">
        <v>2.48701831101393</v>
      </c>
      <c r="J21" s="14">
        <v>53.6926167456681</v>
      </c>
      <c r="K21" s="14">
        <v>8.12720848056537</v>
      </c>
      <c r="L21" s="16">
        <f t="shared" si="1"/>
        <v>131.0471016</v>
      </c>
      <c r="M21" s="16">
        <v>131.04710157283884</v>
      </c>
    </row>
    <row r="22" ht="15.75" customHeight="1">
      <c r="A22" s="14" t="s">
        <v>11</v>
      </c>
      <c r="B22" s="14" t="s">
        <v>8</v>
      </c>
      <c r="C22" s="14">
        <v>6.29760510689451</v>
      </c>
      <c r="D22" s="14">
        <v>77.7343749999999</v>
      </c>
      <c r="E22" s="15">
        <v>50.6281407</v>
      </c>
      <c r="F22" s="14">
        <v>0.0114344262295081</v>
      </c>
      <c r="G22" s="14">
        <v>4.88036761210584</v>
      </c>
      <c r="H22" s="14">
        <v>58.9337580811393</v>
      </c>
      <c r="I22" s="14">
        <v>12.3531019404208</v>
      </c>
      <c r="J22" s="14">
        <v>87.4758789941911</v>
      </c>
      <c r="K22" s="14">
        <v>43.6837455830388</v>
      </c>
      <c r="L22" s="16">
        <f t="shared" si="1"/>
        <v>131.3427214</v>
      </c>
      <c r="M22" s="16">
        <v>131.34272140272782</v>
      </c>
    </row>
    <row r="23" ht="15.75" customHeight="1">
      <c r="A23" s="14" t="s">
        <v>22</v>
      </c>
      <c r="B23" s="14" t="s">
        <v>8</v>
      </c>
      <c r="C23" s="14">
        <v>71.3980745515404</v>
      </c>
      <c r="D23" s="15">
        <v>67.3828125</v>
      </c>
      <c r="E23" s="14">
        <v>26.0050251256281</v>
      </c>
      <c r="F23" s="14">
        <v>0.0105942622950819</v>
      </c>
      <c r="G23" s="14">
        <v>9.04769450166376</v>
      </c>
      <c r="H23" s="14">
        <v>35.0604328679846</v>
      </c>
      <c r="I23" s="14">
        <v>14.3755124350915</v>
      </c>
      <c r="J23" s="14">
        <v>63.5933618992014</v>
      </c>
      <c r="K23" s="14">
        <v>21.2676678445229</v>
      </c>
      <c r="L23" s="16">
        <f t="shared" si="1"/>
        <v>131.4091881</v>
      </c>
      <c r="M23" s="16">
        <v>131.40918805685683</v>
      </c>
    </row>
    <row r="24" ht="15.75" customHeight="1">
      <c r="A24" s="14" t="s">
        <v>35</v>
      </c>
      <c r="B24" s="15">
        <v>1989.0</v>
      </c>
      <c r="C24" s="14">
        <v>24.8681306154595</v>
      </c>
      <c r="D24" s="15">
        <v>100.0</v>
      </c>
      <c r="E24" s="14">
        <v>28.0150753768844</v>
      </c>
      <c r="F24" s="15">
        <v>0.0</v>
      </c>
      <c r="G24" s="14">
        <v>8.73078751386468</v>
      </c>
      <c r="H24" s="14">
        <v>72.2289890377588</v>
      </c>
      <c r="I24" s="14">
        <v>2.9516261273572</v>
      </c>
      <c r="J24" s="14">
        <v>28.0832830296972</v>
      </c>
      <c r="K24" s="14">
        <v>20.1634275618374</v>
      </c>
      <c r="L24" s="16">
        <f t="shared" si="1"/>
        <v>132.7754792</v>
      </c>
      <c r="M24" s="16">
        <v>132.77547923186305</v>
      </c>
    </row>
    <row r="25" ht="15.75" customHeight="1">
      <c r="A25" s="14" t="s">
        <v>39</v>
      </c>
      <c r="B25" s="14" t="s">
        <v>8</v>
      </c>
      <c r="C25" s="14">
        <v>71.3980745515404</v>
      </c>
      <c r="D25" s="14">
        <v>71.2890625</v>
      </c>
      <c r="E25" s="14">
        <v>20.4773869346733</v>
      </c>
      <c r="F25" s="14">
        <v>0.203483606557377</v>
      </c>
      <c r="G25" s="14">
        <v>9.36460148946284</v>
      </c>
      <c r="H25" s="14">
        <v>18.7295043567881</v>
      </c>
      <c r="I25" s="14">
        <v>3.66220278764689</v>
      </c>
      <c r="J25" s="14">
        <v>33.997011469229</v>
      </c>
      <c r="K25" s="14">
        <v>17.1819787985865</v>
      </c>
      <c r="L25" s="16">
        <f t="shared" si="1"/>
        <v>132.8555879</v>
      </c>
      <c r="M25" s="16">
        <v>132.8555878941989</v>
      </c>
    </row>
    <row r="26" ht="15.75" customHeight="1">
      <c r="A26" s="14" t="s">
        <v>9</v>
      </c>
      <c r="B26" s="14" t="s">
        <v>6</v>
      </c>
      <c r="C26" s="14">
        <v>67.7710187881488</v>
      </c>
      <c r="D26" s="15">
        <v>57.421875</v>
      </c>
      <c r="E26" s="14">
        <v>68.21608040201</v>
      </c>
      <c r="F26" s="15">
        <v>0.00344262</v>
      </c>
      <c r="G26" s="14">
        <v>8.88924100776422</v>
      </c>
      <c r="H26" s="14">
        <v>60.7607982760236</v>
      </c>
      <c r="I26" s="14">
        <v>6.28587045640885</v>
      </c>
      <c r="J26" s="14">
        <v>65.6229899161825</v>
      </c>
      <c r="K26" s="14">
        <v>51.7446996466431</v>
      </c>
      <c r="L26" s="16">
        <f t="shared" si="1"/>
        <v>133.4987096</v>
      </c>
      <c r="M26" s="16">
        <v>133.49870960587432</v>
      </c>
    </row>
    <row r="27" ht="15.75" customHeight="1">
      <c r="A27" s="14" t="s">
        <v>28</v>
      </c>
      <c r="B27" s="15">
        <v>1989.0</v>
      </c>
      <c r="C27" s="14">
        <v>1.55134356508492</v>
      </c>
      <c r="D27" s="15">
        <v>68.359375</v>
      </c>
      <c r="E27" s="14">
        <v>93.21608040201</v>
      </c>
      <c r="F27" s="14">
        <v>0.0203073770491803</v>
      </c>
      <c r="G27" s="15">
        <v>8.09697354</v>
      </c>
      <c r="H27" s="14">
        <v>89.16893094725</v>
      </c>
      <c r="I27" s="15">
        <v>7.43372506</v>
      </c>
      <c r="J27" s="14">
        <v>41.9759927958595</v>
      </c>
      <c r="K27" s="14">
        <v>51.3030035335689</v>
      </c>
      <c r="L27" s="16">
        <f t="shared" si="1"/>
        <v>133.9773377</v>
      </c>
      <c r="M27" s="16">
        <v>133.97733773242365</v>
      </c>
    </row>
    <row r="28" ht="15.75" customHeight="1">
      <c r="A28" s="14" t="s">
        <v>42</v>
      </c>
      <c r="B28" s="14" t="s">
        <v>8</v>
      </c>
      <c r="C28" s="14">
        <v>57.200741991979</v>
      </c>
      <c r="D28" s="14">
        <v>71.09375</v>
      </c>
      <c r="E28" s="14">
        <v>25.251256281407</v>
      </c>
      <c r="F28" s="14">
        <v>0.264344262295081</v>
      </c>
      <c r="G28" s="14">
        <v>4.08810014260814</v>
      </c>
      <c r="H28" s="14">
        <v>13.2671226459289</v>
      </c>
      <c r="I28" s="14">
        <v>35.5015031429352</v>
      </c>
      <c r="J28" s="14">
        <v>49.8391932946077</v>
      </c>
      <c r="K28" s="14">
        <v>9.56272084805653</v>
      </c>
      <c r="L28" s="16">
        <f t="shared" si="1"/>
        <v>135.7087742</v>
      </c>
      <c r="M28" s="16">
        <v>135.70877417676527</v>
      </c>
    </row>
    <row r="29" ht="15.75" customHeight="1">
      <c r="A29" s="14" t="s">
        <v>17</v>
      </c>
      <c r="B29" s="14" t="s">
        <v>6</v>
      </c>
      <c r="C29" s="14">
        <v>91.1914360031918</v>
      </c>
      <c r="D29" s="14">
        <v>50.9765625</v>
      </c>
      <c r="E29" s="14">
        <v>19.3467336683417</v>
      </c>
      <c r="F29" s="15">
        <v>0.0</v>
      </c>
      <c r="G29" s="14">
        <v>7.62161305656789</v>
      </c>
      <c r="H29" s="14">
        <v>47.1751147756019</v>
      </c>
      <c r="I29" s="14">
        <v>2.65099754031155</v>
      </c>
      <c r="J29" s="14">
        <v>43.7819757948799</v>
      </c>
      <c r="K29" s="14">
        <v>46.6651943462897</v>
      </c>
      <c r="L29" s="16">
        <f t="shared" si="1"/>
        <v>138.2772454</v>
      </c>
      <c r="M29" s="16">
        <v>138.27724543830993</v>
      </c>
    </row>
    <row r="30" ht="15.75" customHeight="1">
      <c r="A30" s="14" t="s">
        <v>38</v>
      </c>
      <c r="B30" s="15">
        <v>1989.0</v>
      </c>
      <c r="C30" s="14">
        <v>0.370995989512627</v>
      </c>
      <c r="D30" s="15">
        <v>91.015625</v>
      </c>
      <c r="E30" s="14">
        <v>63.3165829145728</v>
      </c>
      <c r="F30" s="14">
        <v>0.977459016393442</v>
      </c>
      <c r="G30" s="14">
        <v>5.32403739502455</v>
      </c>
      <c r="H30" s="14">
        <v>87.5480183640963</v>
      </c>
      <c r="I30" s="14">
        <v>6.91445750204973</v>
      </c>
      <c r="J30" s="14">
        <v>43.923485695625</v>
      </c>
      <c r="K30" s="14">
        <v>53.732332155477</v>
      </c>
      <c r="L30" s="16">
        <f t="shared" si="1"/>
        <v>138.6258369</v>
      </c>
      <c r="M30" s="16">
        <v>138.6258368632119</v>
      </c>
    </row>
    <row r="31" ht="15.75" customHeight="1">
      <c r="A31" s="14" t="s">
        <v>41</v>
      </c>
      <c r="B31" s="15">
        <v>1989.0</v>
      </c>
      <c r="C31" s="15">
        <v>8.70182493</v>
      </c>
      <c r="D31" s="15">
        <v>88.8671875</v>
      </c>
      <c r="E31" s="14">
        <v>65.5778894472361</v>
      </c>
      <c r="F31" s="17">
        <v>3.36065573770491E-4</v>
      </c>
      <c r="G31" s="14">
        <v>11.4244969101568</v>
      </c>
      <c r="H31" s="14">
        <v>94.2471657453387</v>
      </c>
      <c r="I31" s="14">
        <v>11.0139382344902</v>
      </c>
      <c r="J31" s="14">
        <v>20.1913847189098</v>
      </c>
      <c r="K31" s="14">
        <v>60.2473498233215</v>
      </c>
      <c r="L31" s="16">
        <f t="shared" si="1"/>
        <v>138.9967193</v>
      </c>
      <c r="M31" s="16">
        <v>138.99671928981311</v>
      </c>
    </row>
    <row r="32" ht="15.75" customHeight="1">
      <c r="A32" s="14" t="s">
        <v>27</v>
      </c>
      <c r="B32" s="15">
        <v>1989.0</v>
      </c>
      <c r="C32" s="14">
        <v>8.9194482730033</v>
      </c>
      <c r="D32" s="15">
        <v>68.75</v>
      </c>
      <c r="E32" s="14">
        <v>81.1557788944723</v>
      </c>
      <c r="F32" s="15">
        <v>0.00134016</v>
      </c>
      <c r="G32" s="14">
        <v>14.2766598003485</v>
      </c>
      <c r="H32" s="14">
        <v>87.7541459758268</v>
      </c>
      <c r="I32" s="14">
        <v>42.8805684613282</v>
      </c>
      <c r="J32" s="14">
        <v>93.5588255667817</v>
      </c>
      <c r="K32" s="15">
        <v>28.4452297</v>
      </c>
      <c r="L32" s="16">
        <f t="shared" si="1"/>
        <v>139.0079619</v>
      </c>
      <c r="M32" s="16">
        <v>139.00796186320574</v>
      </c>
    </row>
    <row r="33" ht="15.75" customHeight="1">
      <c r="A33" s="14" t="s">
        <v>12</v>
      </c>
      <c r="B33" s="14" t="s">
        <v>6</v>
      </c>
      <c r="C33" s="14">
        <v>48.2885478305025</v>
      </c>
      <c r="D33" s="14">
        <v>75.78125</v>
      </c>
      <c r="E33" s="15">
        <v>63.5678392</v>
      </c>
      <c r="F33" s="14">
        <v>0.471311475409836</v>
      </c>
      <c r="G33" s="15">
        <v>8.09697354</v>
      </c>
      <c r="H33" s="14">
        <v>65.3518223554764</v>
      </c>
      <c r="I33" s="14">
        <v>4.70073790653184</v>
      </c>
      <c r="J33" s="14">
        <v>71.566405747479</v>
      </c>
      <c r="K33" s="14">
        <v>73.8295053003533</v>
      </c>
      <c r="L33" s="16">
        <f t="shared" si="1"/>
        <v>142.0560134</v>
      </c>
      <c r="M33" s="16">
        <v>142.05601336314297</v>
      </c>
    </row>
    <row r="34" ht="15.75" customHeight="1">
      <c r="A34" s="14" t="s">
        <v>14</v>
      </c>
      <c r="B34" s="14" t="s">
        <v>6</v>
      </c>
      <c r="C34" s="14">
        <v>93.1604091318901</v>
      </c>
      <c r="D34" s="15">
        <v>58.203125</v>
      </c>
      <c r="E34" s="14">
        <v>41.7085427135678</v>
      </c>
      <c r="F34" s="15">
        <v>0.00553279</v>
      </c>
      <c r="G34" s="15">
        <v>5.24481065</v>
      </c>
      <c r="H34" s="14">
        <v>44.139417221025</v>
      </c>
      <c r="I34" s="15">
        <v>0.90188576</v>
      </c>
      <c r="J34" s="14">
        <v>19.12263861538</v>
      </c>
      <c r="K34" s="14">
        <v>41.6961130742049</v>
      </c>
      <c r="L34" s="16">
        <f t="shared" si="1"/>
        <v>142.4478116</v>
      </c>
      <c r="M34" s="16">
        <v>142.44781162774902</v>
      </c>
    </row>
    <row r="35" ht="15.75" customHeight="1">
      <c r="A35" s="14" t="s">
        <v>15</v>
      </c>
      <c r="B35" s="14" t="s">
        <v>6</v>
      </c>
      <c r="C35" s="14">
        <v>86.7353389224535</v>
      </c>
      <c r="D35" s="14">
        <v>69.3359375</v>
      </c>
      <c r="E35" s="14">
        <v>37.1859296482412</v>
      </c>
      <c r="F35" s="14">
        <v>0.0158401639344262</v>
      </c>
      <c r="G35" s="14">
        <v>7.93852004436697</v>
      </c>
      <c r="H35" s="14">
        <v>40.6352478216059</v>
      </c>
      <c r="I35" s="15">
        <v>8.44493031</v>
      </c>
      <c r="J35" s="14">
        <v>7.74939883031676</v>
      </c>
      <c r="K35" s="14">
        <v>45.5609540636042</v>
      </c>
      <c r="L35" s="16">
        <f t="shared" si="1"/>
        <v>143.808477</v>
      </c>
      <c r="M35" s="16">
        <v>143.80847703831031</v>
      </c>
    </row>
    <row r="36" ht="15.75" customHeight="1">
      <c r="A36" s="14" t="s">
        <v>32</v>
      </c>
      <c r="B36" s="14" t="s">
        <v>6</v>
      </c>
      <c r="C36" s="14">
        <v>78.3412955843186</v>
      </c>
      <c r="D36" s="15">
        <v>93.5546875</v>
      </c>
      <c r="E36" s="14">
        <v>25.251256281407</v>
      </c>
      <c r="F36" s="15">
        <v>0.0014918</v>
      </c>
      <c r="G36" s="14">
        <v>7.93852004436697</v>
      </c>
      <c r="H36" s="14">
        <v>79.9962522252412</v>
      </c>
      <c r="I36" s="14">
        <v>7.67969390543864</v>
      </c>
      <c r="J36" s="14">
        <v>63.6111743342602</v>
      </c>
      <c r="K36" s="14">
        <v>14.8630742049469</v>
      </c>
      <c r="L36" s="16">
        <f t="shared" si="1"/>
        <v>151.4015329</v>
      </c>
      <c r="M36" s="16">
        <v>151.40153292734638</v>
      </c>
    </row>
    <row r="37" ht="15.75" customHeight="1">
      <c r="A37" s="14" t="s">
        <v>31</v>
      </c>
      <c r="B37" s="14" t="s">
        <v>6</v>
      </c>
      <c r="C37" s="15">
        <v>95.0257521</v>
      </c>
      <c r="D37" s="15">
        <v>68.1640625</v>
      </c>
      <c r="E37" s="14">
        <v>14.572864321608</v>
      </c>
      <c r="F37" s="15">
        <v>0.00354508</v>
      </c>
      <c r="G37" s="14">
        <v>5.37157344319442</v>
      </c>
      <c r="H37" s="14">
        <v>24.1169305724725</v>
      </c>
      <c r="I37" s="14">
        <v>18.4476632959825</v>
      </c>
      <c r="J37" s="14">
        <v>73.66629392497</v>
      </c>
      <c r="K37" s="14">
        <v>33.303886925795</v>
      </c>
      <c r="L37" s="16">
        <f t="shared" si="1"/>
        <v>153.5604167</v>
      </c>
      <c r="M37" s="16">
        <v>153.56041665981587</v>
      </c>
    </row>
    <row r="38" ht="15.75" customHeight="1">
      <c r="A38" s="14" t="s">
        <v>44</v>
      </c>
      <c r="B38" s="14" t="s">
        <v>6</v>
      </c>
      <c r="C38" s="15">
        <v>100.0</v>
      </c>
      <c r="D38" s="14">
        <v>71.09375</v>
      </c>
      <c r="E38" s="14">
        <v>3.14070351758793</v>
      </c>
      <c r="F38" s="17">
        <v>7.90983606557377E-4</v>
      </c>
      <c r="G38" s="14">
        <v>11.8998573918554</v>
      </c>
      <c r="H38" s="14">
        <v>3.88831631218964</v>
      </c>
      <c r="I38" s="14">
        <v>4.75539764963104</v>
      </c>
      <c r="J38" s="14">
        <v>42.7666669965265</v>
      </c>
      <c r="K38" s="14">
        <v>43.2420494699646</v>
      </c>
      <c r="L38" s="16">
        <f t="shared" si="1"/>
        <v>156.6740901</v>
      </c>
      <c r="M38" s="16">
        <v>156.67409006491323</v>
      </c>
    </row>
    <row r="39" ht="15.75" customHeight="1">
      <c r="A39" s="14" t="s">
        <v>36</v>
      </c>
      <c r="B39" s="15">
        <v>1989.0</v>
      </c>
      <c r="C39" s="14">
        <v>5.70691316828502</v>
      </c>
      <c r="D39" s="15">
        <v>68.1640625</v>
      </c>
      <c r="E39" s="14">
        <v>79.0201005025125</v>
      </c>
      <c r="F39" s="15">
        <v>0.0</v>
      </c>
      <c r="G39" s="14">
        <v>14.2766598003485</v>
      </c>
      <c r="H39" s="15">
        <v>94.3127518</v>
      </c>
      <c r="I39" s="14">
        <v>38.5077890133916</v>
      </c>
      <c r="J39" s="14">
        <v>83.5333933678366</v>
      </c>
      <c r="K39" s="15">
        <v>100.0</v>
      </c>
      <c r="L39" s="16">
        <f t="shared" si="1"/>
        <v>158.2762241</v>
      </c>
      <c r="M39" s="16">
        <v>158.2762241055817</v>
      </c>
    </row>
    <row r="40" ht="15.75" customHeight="1">
      <c r="A40" s="14" t="s">
        <v>48</v>
      </c>
      <c r="B40" s="14" t="s">
        <v>8</v>
      </c>
      <c r="C40" s="14">
        <v>99.7927396706633</v>
      </c>
      <c r="D40" s="14">
        <v>7.6171875</v>
      </c>
      <c r="E40" s="15">
        <v>0.0</v>
      </c>
      <c r="F40" s="14">
        <v>0.0158196721311475</v>
      </c>
      <c r="G40" s="14">
        <v>9.04769450166376</v>
      </c>
      <c r="H40" s="14">
        <v>5.25625409912864</v>
      </c>
      <c r="I40" s="14">
        <v>7.57037441924022</v>
      </c>
      <c r="J40" s="15">
        <v>100.0</v>
      </c>
      <c r="K40" s="14">
        <v>38.9355123674911</v>
      </c>
      <c r="L40" s="16">
        <f t="shared" si="1"/>
        <v>158.5358337</v>
      </c>
      <c r="M40" s="16">
        <v>158.535833706445</v>
      </c>
    </row>
    <row r="41" ht="15.75" customHeight="1">
      <c r="A41" s="14" t="s">
        <v>47</v>
      </c>
      <c r="B41" s="14" t="s">
        <v>8</v>
      </c>
      <c r="C41" s="14">
        <v>81.2429401950319</v>
      </c>
      <c r="D41" s="14">
        <v>21.09375</v>
      </c>
      <c r="E41" s="14">
        <v>18.8442211055276</v>
      </c>
      <c r="F41" s="15">
        <v>100.0</v>
      </c>
      <c r="G41" s="14">
        <v>10.1568689589605</v>
      </c>
      <c r="H41" s="15">
        <v>0.0</v>
      </c>
      <c r="I41" s="14">
        <v>7.54304454769062</v>
      </c>
      <c r="J41" s="14">
        <v>34.0534175135819</v>
      </c>
      <c r="K41" s="14">
        <v>9.34187279151943</v>
      </c>
      <c r="L41" s="16">
        <f t="shared" si="1"/>
        <v>163.7392989</v>
      </c>
      <c r="M41" s="16">
        <v>163.73929888489053</v>
      </c>
    </row>
    <row r="42" ht="15.75" customHeight="1">
      <c r="A42" s="14" t="s">
        <v>33</v>
      </c>
      <c r="B42" s="14" t="s">
        <v>8</v>
      </c>
      <c r="C42" s="14">
        <v>17.8212794180129</v>
      </c>
      <c r="D42" s="15">
        <v>97.65625</v>
      </c>
      <c r="E42" s="14">
        <v>15.2010050251256</v>
      </c>
      <c r="F42" s="14">
        <v>0.0107581967213114</v>
      </c>
      <c r="G42" s="14">
        <v>9.998415465061</v>
      </c>
      <c r="H42" s="14">
        <v>41.0756113557575</v>
      </c>
      <c r="I42" s="15">
        <v>100.0</v>
      </c>
      <c r="J42" s="14">
        <v>4.19977635498203</v>
      </c>
      <c r="K42" s="14">
        <v>13.86925795053</v>
      </c>
      <c r="L42" s="16">
        <f t="shared" si="1"/>
        <v>164.9664894</v>
      </c>
      <c r="M42" s="16">
        <v>164.96648940396165</v>
      </c>
    </row>
    <row r="43" ht="15.75" customHeight="1">
      <c r="A43" s="1" t="s">
        <v>0</v>
      </c>
      <c r="B43" s="1" t="s">
        <v>1</v>
      </c>
      <c r="C43" s="1" t="s">
        <v>50</v>
      </c>
      <c r="D43" s="1" t="s">
        <v>2</v>
      </c>
      <c r="E43" s="1" t="s">
        <v>51</v>
      </c>
      <c r="F43" s="1" t="s">
        <v>52</v>
      </c>
      <c r="G43" s="1" t="s">
        <v>53</v>
      </c>
      <c r="H43" s="1" t="s">
        <v>3</v>
      </c>
      <c r="I43" s="1" t="s">
        <v>54</v>
      </c>
      <c r="J43" s="1" t="s">
        <v>55</v>
      </c>
      <c r="K43" s="1" t="s">
        <v>56</v>
      </c>
      <c r="L43" s="22" t="s">
        <v>4</v>
      </c>
      <c r="M43" s="9" t="s">
        <v>4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23" t="s">
        <v>59</v>
      </c>
      <c r="B44" s="9"/>
      <c r="C44" s="8">
        <v>3.56</v>
      </c>
      <c r="D44" s="8">
        <v>10.32</v>
      </c>
      <c r="E44" s="8">
        <v>37.19</v>
      </c>
      <c r="F44" s="8">
        <v>0.47</v>
      </c>
      <c r="G44" s="8">
        <v>100.0</v>
      </c>
      <c r="H44" s="8">
        <v>47.39</v>
      </c>
      <c r="I44" s="8">
        <v>1.8</v>
      </c>
      <c r="J44" s="8">
        <v>37.48</v>
      </c>
      <c r="K44" s="8">
        <v>16.74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3"/>
      <c r="M45" s="3"/>
      <c r="N45" s="3"/>
    </row>
    <row r="46" ht="15.75" customHeight="1">
      <c r="A46" s="20"/>
      <c r="B46" s="14"/>
      <c r="C46" s="20"/>
      <c r="D46" s="21"/>
      <c r="E46" s="20"/>
      <c r="F46" s="20"/>
      <c r="G46" s="20"/>
      <c r="H46" s="20"/>
      <c r="I46" s="20"/>
      <c r="J46" s="20"/>
      <c r="K46" s="20"/>
      <c r="L46" s="16"/>
      <c r="M46" s="16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3"/>
      <c r="M47" s="3"/>
      <c r="N47" s="3"/>
    </row>
    <row r="48" ht="15.75" customHeight="1">
      <c r="A48" s="20"/>
      <c r="B48" s="14"/>
      <c r="C48" s="20"/>
      <c r="D48" s="21"/>
      <c r="E48" s="20"/>
      <c r="F48" s="20"/>
      <c r="G48" s="20"/>
      <c r="H48" s="20"/>
      <c r="I48" s="20"/>
      <c r="J48" s="20"/>
      <c r="K48" s="20"/>
      <c r="L48" s="16"/>
      <c r="M48" s="1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